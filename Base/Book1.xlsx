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mit\Downloads\manish\GUI_Application\Base\"/>
    </mc:Choice>
  </mc:AlternateContent>
  <xr:revisionPtr revIDLastSave="0" documentId="8_{ED3C8786-19D6-4CF7-814E-28B31BC12555}" xr6:coauthVersionLast="47" xr6:coauthVersionMax="47" xr10:uidLastSave="{00000000-0000-0000-0000-000000000000}"/>
  <bookViews>
    <workbookView xWindow="2340" yWindow="2340" windowWidth="21600" windowHeight="11295" xr2:uid="{CDE2666F-C83C-4BF0-A600-EBDD25BCDE25}"/>
  </bookViews>
  <sheets>
    <sheet name="TowerA11004(42)" sheetId="1" r:id="rId1"/>
  </sheets>
  <definedNames>
    <definedName name="_xlnm.Print_Area" localSheetId="0">'TowerA11004(42)'!$A$1:$J$35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E15" i="1"/>
  <c r="E16" i="1" s="1"/>
  <c r="H16" i="1" s="1"/>
  <c r="I16" i="1" s="1"/>
  <c r="G16" i="1"/>
  <c r="E20" i="1"/>
  <c r="E21" i="1"/>
  <c r="D22" i="1"/>
  <c r="E22" i="1"/>
  <c r="H22" i="1" s="1"/>
  <c r="I22" i="1" s="1"/>
  <c r="G22" i="1"/>
</calcChain>
</file>

<file path=xl/sharedStrings.xml><?xml version="1.0" encoding="utf-8"?>
<sst xmlns="http://schemas.openxmlformats.org/spreadsheetml/2006/main" count="31" uniqueCount="22">
  <si>
    <t>(MANISH GAUTAM)</t>
  </si>
  <si>
    <t>Completed By</t>
  </si>
  <si>
    <t xml:space="preserve">Remark:- METER CALIBRATED SUCESSFULY </t>
  </si>
  <si>
    <t>Delta T</t>
  </si>
  <si>
    <t xml:space="preserve"> </t>
  </si>
  <si>
    <t>Outlet Temp</t>
  </si>
  <si>
    <t>Inlet Temp</t>
  </si>
  <si>
    <t>MWH= BTU*1744.03</t>
  </si>
  <si>
    <t>BTU= GPM x DeltaT x 500</t>
  </si>
  <si>
    <t>GPM</t>
  </si>
  <si>
    <t>M3/Hr</t>
  </si>
  <si>
    <t>Fahrenheit</t>
  </si>
  <si>
    <t>Degree Cel</t>
  </si>
  <si>
    <t>After Calibration(100% Valve open)</t>
  </si>
  <si>
    <t>Before Calibration(100% Valve Open)</t>
  </si>
  <si>
    <t>Model No : tprime-280 T</t>
  </si>
  <si>
    <t>Meter Size : DN-65</t>
  </si>
  <si>
    <t xml:space="preserve">                    Location : Cyber Park</t>
  </si>
  <si>
    <t>Meter Location : 11th FLOOR AHU:-4</t>
  </si>
  <si>
    <t>Serial No: 86119050</t>
  </si>
  <si>
    <t>BTU Meter Calibration Report</t>
  </si>
  <si>
    <t xml:space="preserve">Registered Office:
612, Swastik Disa Corporate Park, LBS Road, Ghatkopar (West), Mumbai 
Maharashtra -400086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</si>
</sst>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sz val="10"/>
      <name val="Tahoma"/>
      <family val="2"/>
    </font>
    <font>
      <b/>
      <sz val="24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22"/>
      <name val="Tahoma"/>
      <family val="2"/>
    </font>
    <font>
      <b/>
      <sz val="8"/>
      <color theme="1"/>
      <name val="Tahoma"/>
      <family val="2"/>
    </font>
    <font>
      <b/>
      <sz val="10"/>
      <name val="Tahoma"/>
      <family val="2"/>
    </font>
    <font>
      <b/>
      <u/>
      <sz val="20"/>
      <name val="Arial"/>
      <family val="2"/>
    </font>
    <font>
      <b/>
      <u/>
      <sz val="2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 shrinkToFi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828675</xdr:colOff>
      <xdr:row>1</xdr:row>
      <xdr:rowOff>9525</xdr:rowOff>
    </xdr:from>
    <xdr:ext cx="2152254" cy="812800"/>
    <xdr:pic>
      <xdr:nvPicPr>
        <xdr:cNvPr id="2" name="Picture 1">
          <a:extLst>
            <a:ext uri="{FF2B5EF4-FFF2-40B4-BE49-F238E27FC236}">
              <a16:creationId xmlns:a16="http://schemas.microsoft.com/office/drawing/2014/main" id="{C734932D-8F52-476D-ABBE-F818CF5EB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450"/>
          <a:ext cx="2152254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484187</xdr:colOff>
      <xdr:row>22</xdr:row>
      <xdr:rowOff>206375</xdr:rowOff>
    </xdr:from>
    <xdr:ext cx="1476376" cy="1325563"/>
    <xdr:pic>
      <xdr:nvPicPr>
        <xdr:cNvPr id="3" name="Picture 2">
          <a:extLst>
            <a:ext uri="{FF2B5EF4-FFF2-40B4-BE49-F238E27FC236}">
              <a16:creationId xmlns:a16="http://schemas.microsoft.com/office/drawing/2014/main" id="{E0F565C1-4E48-426E-B756-C2B800789A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63" t="16663" r="14603" b="24325"/>
        <a:stretch/>
      </xdr:blipFill>
      <xdr:spPr>
        <a:xfrm>
          <a:off x="1541462" y="3721100"/>
          <a:ext cx="1476376" cy="1325563"/>
        </a:xfrm>
        <a:prstGeom prst="flowChartConnector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F8D8-39B5-4253-9BEC-E9565823126F}">
  <dimension ref="A2:M34"/>
  <sheetViews>
    <sheetView showGridLines="0" tabSelected="1" topLeftCell="A4" zoomScale="96" zoomScaleNormal="96" workbookViewId="0">
      <selection activeCell="N13" sqref="N13"/>
    </sheetView>
  </sheetViews>
  <sheetFormatPr defaultColWidth="2.5703125" defaultRowHeight="12.75" x14ac:dyDescent="0.2"/>
  <cols>
    <col min="1" max="1" width="8" style="1" customWidth="1"/>
    <col min="2" max="2" width="4.28515625" style="2" customWidth="1"/>
    <col min="3" max="3" width="11.28515625" style="1" customWidth="1"/>
    <col min="4" max="4" width="13.7109375" style="1" customWidth="1"/>
    <col min="5" max="5" width="9.7109375" style="1" bestFit="1" customWidth="1"/>
    <col min="6" max="6" width="9.7109375" style="1" customWidth="1"/>
    <col min="7" max="7" width="10.7109375" style="1" customWidth="1"/>
    <col min="8" max="8" width="14.140625" style="1" customWidth="1"/>
    <col min="9" max="9" width="35.5703125" style="1" customWidth="1"/>
    <col min="10" max="10" width="7.42578125" style="1" hidden="1" customWidth="1"/>
    <col min="11" max="11" width="5.7109375" style="1" customWidth="1"/>
    <col min="12" max="12" width="11" style="1" customWidth="1"/>
    <col min="13" max="19" width="9.28515625" style="1" customWidth="1"/>
    <col min="20" max="16384" width="2.5703125" style="1"/>
  </cols>
  <sheetData>
    <row r="2" spans="1:13" ht="62.25" customHeight="1" x14ac:dyDescent="0.2">
      <c r="C2" s="30" t="s">
        <v>21</v>
      </c>
      <c r="D2" s="30"/>
      <c r="E2" s="2"/>
      <c r="F2" s="2"/>
      <c r="G2" s="2"/>
      <c r="H2" s="2"/>
      <c r="I2" s="2"/>
      <c r="J2" s="2"/>
      <c r="K2" s="2"/>
    </row>
    <row r="5" spans="1:13" ht="27" customHeight="1" x14ac:dyDescent="0.2">
      <c r="B5" s="29" t="s">
        <v>20</v>
      </c>
      <c r="C5" s="29"/>
      <c r="D5" s="29"/>
      <c r="E5" s="29"/>
      <c r="F5" s="29"/>
      <c r="G5" s="29"/>
      <c r="H5" s="29"/>
      <c r="I5" s="29"/>
    </row>
    <row r="6" spans="1:13" ht="27" customHeight="1" x14ac:dyDescent="0.4">
      <c r="B6" s="28"/>
      <c r="C6" s="27"/>
      <c r="D6" s="27"/>
      <c r="E6" s="27"/>
      <c r="F6" s="27"/>
      <c r="G6" s="27"/>
      <c r="H6" s="27"/>
      <c r="I6" s="27"/>
    </row>
    <row r="7" spans="1:13" ht="23.25" customHeight="1" x14ac:dyDescent="0.2">
      <c r="B7" s="25" t="s">
        <v>19</v>
      </c>
      <c r="C7" s="25"/>
      <c r="D7" s="25"/>
      <c r="E7" s="25"/>
      <c r="F7" s="25"/>
      <c r="G7" s="24"/>
    </row>
    <row r="8" spans="1:13" ht="20.25" customHeight="1" x14ac:dyDescent="0.2">
      <c r="B8" s="26" t="s">
        <v>18</v>
      </c>
      <c r="C8" s="26"/>
      <c r="D8" s="26"/>
      <c r="E8" s="26"/>
      <c r="F8" s="26"/>
      <c r="G8" s="24"/>
      <c r="H8" s="26" t="s">
        <v>17</v>
      </c>
      <c r="I8" s="26"/>
      <c r="J8" s="26"/>
      <c r="K8" s="26"/>
      <c r="L8" s="26"/>
    </row>
    <row r="9" spans="1:13" ht="29.25" customHeight="1" x14ac:dyDescent="0.2">
      <c r="B9" s="25" t="s">
        <v>16</v>
      </c>
      <c r="C9" s="25"/>
      <c r="D9" s="25"/>
      <c r="E9" s="25"/>
      <c r="F9" s="25"/>
      <c r="G9" s="24"/>
      <c r="I9" s="25" t="s">
        <v>15</v>
      </c>
      <c r="J9" s="25"/>
      <c r="K9" s="25"/>
    </row>
    <row r="10" spans="1:13" ht="14.25" customHeight="1" x14ac:dyDescent="0.2">
      <c r="B10" s="24"/>
      <c r="C10" s="24"/>
      <c r="D10" s="24"/>
      <c r="E10" s="24"/>
      <c r="F10" s="24"/>
      <c r="G10" s="24"/>
      <c r="I10" s="24"/>
      <c r="J10" s="24"/>
      <c r="K10" s="24"/>
    </row>
    <row r="11" spans="1:13" x14ac:dyDescent="0.2">
      <c r="B11" s="24"/>
      <c r="C11" s="24"/>
      <c r="D11" s="24"/>
      <c r="E11" s="24"/>
      <c r="F11" s="24"/>
      <c r="G11" s="24"/>
      <c r="H11" s="24"/>
      <c r="I11" s="24"/>
    </row>
    <row r="12" spans="1:13" ht="18.75" customHeight="1" x14ac:dyDescent="0.2">
      <c r="A12" s="12"/>
      <c r="B12" s="21" t="s">
        <v>14</v>
      </c>
      <c r="C12" s="20"/>
      <c r="D12" s="20"/>
      <c r="E12" s="20"/>
      <c r="F12" s="20"/>
      <c r="G12" s="20"/>
      <c r="H12" s="20"/>
      <c r="I12" s="20"/>
      <c r="J12" s="20"/>
      <c r="K12" s="12"/>
    </row>
    <row r="13" spans="1:13" s="14" customFormat="1" ht="27.75" customHeight="1" x14ac:dyDescent="0.2">
      <c r="B13" s="16"/>
      <c r="C13" s="11"/>
      <c r="D13" s="16" t="s">
        <v>12</v>
      </c>
      <c r="E13" s="16" t="s">
        <v>11</v>
      </c>
      <c r="F13" s="16" t="s">
        <v>10</v>
      </c>
      <c r="G13" s="16" t="s">
        <v>9</v>
      </c>
      <c r="H13" s="18" t="s">
        <v>8</v>
      </c>
      <c r="I13" s="16" t="s">
        <v>7</v>
      </c>
      <c r="J13" s="11"/>
    </row>
    <row r="14" spans="1:13" s="14" customFormat="1" ht="18.75" customHeight="1" x14ac:dyDescent="0.2">
      <c r="B14" s="16">
        <v>1</v>
      </c>
      <c r="C14" s="11" t="s">
        <v>6</v>
      </c>
      <c r="D14" s="16">
        <v>12.06</v>
      </c>
      <c r="E14" s="16">
        <f>D14*(9/5)+32</f>
        <v>53.707999999999998</v>
      </c>
      <c r="F14" s="11"/>
      <c r="G14" s="11"/>
      <c r="H14" s="11"/>
      <c r="I14" s="11"/>
      <c r="J14" s="11"/>
    </row>
    <row r="15" spans="1:13" s="17" customFormat="1" ht="18.75" customHeight="1" x14ac:dyDescent="0.2">
      <c r="A15" s="14"/>
      <c r="B15" s="16">
        <v>2</v>
      </c>
      <c r="C15" s="11" t="s">
        <v>5</v>
      </c>
      <c r="D15" s="16">
        <v>17.670000000000002</v>
      </c>
      <c r="E15" s="16">
        <f>D15*(9/5)+32</f>
        <v>63.806000000000004</v>
      </c>
      <c r="F15" s="11"/>
      <c r="G15" s="11"/>
      <c r="H15" s="11"/>
      <c r="I15" s="11"/>
      <c r="J15" s="11"/>
      <c r="K15" s="14"/>
      <c r="L15" s="15"/>
      <c r="M15" s="15"/>
    </row>
    <row r="16" spans="1:13" s="14" customFormat="1" ht="18.75" customHeight="1" x14ac:dyDescent="0.2">
      <c r="B16" s="16"/>
      <c r="C16" s="11" t="s">
        <v>3</v>
      </c>
      <c r="D16" s="16">
        <v>5.61</v>
      </c>
      <c r="E16" s="16">
        <f>E15-E14</f>
        <v>10.098000000000006</v>
      </c>
      <c r="F16" s="23">
        <v>21.87</v>
      </c>
      <c r="G16" s="16">
        <f>ROUND(F16*4.403,3)</f>
        <v>96.293999999999997</v>
      </c>
      <c r="H16" s="16">
        <f>G16*E16*500</f>
        <v>486188.40600000025</v>
      </c>
      <c r="I16" s="16">
        <f>H16*2.931*POWER(10,-4)</f>
        <v>142.50182179860008</v>
      </c>
      <c r="J16" s="11"/>
      <c r="L16" s="15"/>
      <c r="M16" s="15"/>
    </row>
    <row r="17" spans="1:13" ht="18.75" customHeight="1" x14ac:dyDescent="0.2">
      <c r="B17" s="1"/>
      <c r="D17" s="22"/>
      <c r="E17" s="22"/>
      <c r="F17" s="22"/>
      <c r="G17" s="22"/>
      <c r="H17" s="22"/>
      <c r="I17" s="22"/>
      <c r="J17" s="22"/>
    </row>
    <row r="18" spans="1:13" ht="18.75" customHeight="1" x14ac:dyDescent="0.2">
      <c r="A18" s="12"/>
      <c r="B18" s="21" t="s">
        <v>13</v>
      </c>
      <c r="C18" s="20"/>
      <c r="D18" s="20"/>
      <c r="E18" s="20"/>
      <c r="F18" s="20"/>
      <c r="G18" s="20"/>
      <c r="H18" s="20"/>
      <c r="I18" s="20"/>
      <c r="J18" s="19"/>
      <c r="K18" s="12"/>
    </row>
    <row r="19" spans="1:13" s="14" customFormat="1" ht="26.25" customHeight="1" x14ac:dyDescent="0.2">
      <c r="B19" s="16"/>
      <c r="C19" s="11"/>
      <c r="D19" s="16" t="s">
        <v>12</v>
      </c>
      <c r="E19" s="16" t="s">
        <v>11</v>
      </c>
      <c r="F19" s="16" t="s">
        <v>10</v>
      </c>
      <c r="G19" s="16" t="s">
        <v>9</v>
      </c>
      <c r="H19" s="18" t="s">
        <v>8</v>
      </c>
      <c r="I19" s="16" t="s">
        <v>7</v>
      </c>
      <c r="J19" s="11"/>
    </row>
    <row r="20" spans="1:13" s="14" customFormat="1" ht="18.75" customHeight="1" x14ac:dyDescent="0.2">
      <c r="B20" s="16">
        <v>1</v>
      </c>
      <c r="C20" s="11" t="s">
        <v>6</v>
      </c>
      <c r="D20" s="16">
        <v>13.06</v>
      </c>
      <c r="E20" s="16">
        <f>D20*(9/5)+32</f>
        <v>55.508000000000003</v>
      </c>
      <c r="F20" s="11"/>
      <c r="G20" s="11"/>
      <c r="H20" s="11"/>
      <c r="I20" s="11"/>
      <c r="J20" s="11"/>
    </row>
    <row r="21" spans="1:13" s="17" customFormat="1" ht="18.75" customHeight="1" x14ac:dyDescent="0.2">
      <c r="A21" s="14"/>
      <c r="B21" s="16">
        <v>2</v>
      </c>
      <c r="C21" s="11" t="s">
        <v>5</v>
      </c>
      <c r="D21" s="16">
        <v>16.75</v>
      </c>
      <c r="E21" s="16">
        <f>D21*(9/5)+32</f>
        <v>62.150000000000006</v>
      </c>
      <c r="F21" s="11" t="s">
        <v>4</v>
      </c>
      <c r="G21" s="11"/>
      <c r="H21" s="11"/>
      <c r="I21" s="11"/>
      <c r="J21" s="11"/>
      <c r="K21" s="14"/>
      <c r="L21" s="15"/>
      <c r="M21" s="15"/>
    </row>
    <row r="22" spans="1:13" s="14" customFormat="1" ht="18.75" customHeight="1" x14ac:dyDescent="0.2">
      <c r="B22" s="16"/>
      <c r="C22" s="11" t="s">
        <v>3</v>
      </c>
      <c r="D22" s="16">
        <f>D21-D20</f>
        <v>3.6899999999999995</v>
      </c>
      <c r="E22" s="16">
        <f>E21-E20</f>
        <v>6.642000000000003</v>
      </c>
      <c r="F22" s="16">
        <v>15.03</v>
      </c>
      <c r="G22" s="16">
        <f>ROUND(F22*4.403,3)</f>
        <v>66.177000000000007</v>
      </c>
      <c r="H22" s="16">
        <f>G22*E22*500</f>
        <v>219773.81700000013</v>
      </c>
      <c r="I22" s="16">
        <f>H22*2.931*POWER(10,-4)</f>
        <v>64.415705762700043</v>
      </c>
      <c r="J22" s="11"/>
      <c r="L22" s="15"/>
      <c r="M22" s="15"/>
    </row>
    <row r="23" spans="1:13" ht="18.75" customHeight="1" x14ac:dyDescent="0.2">
      <c r="B23" s="12"/>
      <c r="C23" s="12"/>
      <c r="D23" s="12"/>
      <c r="E23" s="13"/>
      <c r="F23" s="13"/>
      <c r="G23" s="13"/>
      <c r="H23" s="13"/>
      <c r="I23" s="13"/>
      <c r="J23" s="13"/>
    </row>
    <row r="24" spans="1:13" ht="18.75" customHeight="1" x14ac:dyDescent="0.2">
      <c r="J24" s="11"/>
      <c r="K24" s="12"/>
    </row>
    <row r="25" spans="1:13" ht="24.75" customHeight="1" x14ac:dyDescent="0.2">
      <c r="B25" s="6"/>
      <c r="C25" s="6"/>
      <c r="D25" s="6"/>
      <c r="E25" s="6"/>
      <c r="F25" s="6"/>
      <c r="G25" s="6"/>
      <c r="H25" s="6"/>
      <c r="I25" s="6"/>
      <c r="J25" s="11"/>
      <c r="K25"/>
      <c r="L25"/>
      <c r="M25"/>
    </row>
    <row r="26" spans="1:13" x14ac:dyDescent="0.2">
      <c r="B26" s="10" t="s">
        <v>2</v>
      </c>
      <c r="C26" s="10"/>
      <c r="D26" s="10"/>
      <c r="E26" s="10"/>
      <c r="F26" s="10"/>
      <c r="G26" s="10"/>
      <c r="H26" s="10"/>
      <c r="I26" s="10"/>
      <c r="J26" s="6"/>
      <c r="K26"/>
      <c r="L26"/>
      <c r="M26"/>
    </row>
    <row r="27" spans="1:13" ht="16.5" customHeight="1" x14ac:dyDescent="0.2">
      <c r="B27" s="8"/>
      <c r="C27" s="8"/>
      <c r="D27" s="8"/>
      <c r="E27" s="8"/>
      <c r="F27" s="8"/>
      <c r="G27" s="8"/>
      <c r="H27" s="8"/>
      <c r="I27" s="8"/>
      <c r="J27" s="6"/>
      <c r="K27"/>
      <c r="L27"/>
      <c r="M27"/>
    </row>
    <row r="28" spans="1:13" ht="21.6" customHeight="1" x14ac:dyDescent="0.2">
      <c r="B28" s="6"/>
      <c r="C28" s="6"/>
      <c r="D28" s="6"/>
      <c r="E28" s="6"/>
      <c r="F28" s="6"/>
      <c r="G28" s="6"/>
      <c r="H28" s="6"/>
      <c r="I28" s="6"/>
      <c r="J28" s="10"/>
      <c r="K28"/>
      <c r="L28"/>
      <c r="M28"/>
    </row>
    <row r="29" spans="1:13" ht="21.6" customHeight="1" x14ac:dyDescent="0.2">
      <c r="B29" s="9"/>
      <c r="C29"/>
      <c r="D29"/>
      <c r="E29"/>
      <c r="F29"/>
      <c r="G29"/>
      <c r="H29"/>
      <c r="I29"/>
      <c r="J29" s="8"/>
      <c r="K29"/>
    </row>
    <row r="30" spans="1:13" ht="21.6" customHeight="1" x14ac:dyDescent="0.2">
      <c r="C30"/>
      <c r="D30"/>
      <c r="E30"/>
      <c r="F30"/>
      <c r="G30"/>
      <c r="H30"/>
      <c r="I30" s="7" t="s">
        <v>1</v>
      </c>
      <c r="J30" s="6"/>
      <c r="K30"/>
    </row>
    <row r="31" spans="1:13" x14ac:dyDescent="0.2">
      <c r="C31"/>
      <c r="D31"/>
      <c r="E31"/>
      <c r="F31"/>
      <c r="G31"/>
      <c r="H31"/>
      <c r="I31" s="5" t="s">
        <v>0</v>
      </c>
      <c r="J31"/>
    </row>
    <row r="32" spans="1:13" ht="12.75" customHeight="1" x14ac:dyDescent="0.2">
      <c r="C32"/>
      <c r="D32"/>
      <c r="E32"/>
      <c r="F32"/>
      <c r="G32"/>
      <c r="H32"/>
      <c r="I32"/>
      <c r="J32"/>
    </row>
    <row r="33" spans="3:10" x14ac:dyDescent="0.2">
      <c r="I33" s="4"/>
      <c r="J33"/>
    </row>
    <row r="34" spans="3:10" ht="30" x14ac:dyDescent="0.4">
      <c r="C34" s="3"/>
      <c r="D34" s="3"/>
      <c r="J34"/>
    </row>
  </sheetData>
  <mergeCells count="11">
    <mergeCell ref="I9:K9"/>
    <mergeCell ref="B12:J12"/>
    <mergeCell ref="D17:J17"/>
    <mergeCell ref="B18:J18"/>
    <mergeCell ref="C34:D34"/>
    <mergeCell ref="C2:D2"/>
    <mergeCell ref="B5:I5"/>
    <mergeCell ref="B7:F7"/>
    <mergeCell ref="B8:F8"/>
    <mergeCell ref="H8:L8"/>
    <mergeCell ref="B9:F9"/>
  </mergeCells>
  <pageMargins left="0.25" right="0.25" top="0.75" bottom="0.75" header="0.3" footer="0.3"/>
  <pageSetup paperSize="9" scale="80" orientation="portrait" r:id="rId1"/>
  <headerFooter alignWithMargins="0">
    <oddFooter xml:space="preserve">&amp;C
Triton Process Automation Pvt Ltd.
Head Office: 612, Swastik Disa Corporate Park, Opp. Shreyas Theatre, LBS Road, Ghatkopar (West), Mumbai-400 003
Tel- 022-25001900    Email: sales@tritonprocess.com 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TowerA11004(42)</vt:lpstr>
      <vt:lpstr>'TowerA11004(42)'!Print_Area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kushwah</dc:creator>
  <cp:lastModifiedBy>sumit kushwah</cp:lastModifiedBy>
  <dcterms:created xsi:type="dcterms:W3CDTF">2026-02-23T18:40:25Z</dcterms:created>
  <dcterms:modified xsi:type="dcterms:W3CDTF">2026-02-23T18:40:41Z</dcterms:modified>
</cp:coreProperties>
</file>