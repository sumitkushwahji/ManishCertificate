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umit\Downloads\manish\GUI_Application\Output\"/>
    </mc:Choice>
  </mc:AlternateContent>
  <xr:revisionPtr revIDLastSave="0" documentId="13_ncr:1_{9F7C121D-6E06-4423-AA12-9043D5B98587}" xr6:coauthVersionLast="47" xr6:coauthVersionMax="47" xr10:uidLastSave="{00000000-0000-0000-0000-000000000000}"/>
  <bookViews>
    <workbookView xWindow="2115" yWindow="2115" windowWidth="21600" windowHeight="11295" firstSheet="40" activeTab="43" xr2:uid="{CDE2666F-C83C-4BF0-A600-EBDD25BCDE25}"/>
  </bookViews>
  <sheets>
    <sheet name="Tower_12THAHU1" sheetId="1" r:id="rId1"/>
    <sheet name="Tower_12THAHU4" sheetId="2" r:id="rId2"/>
    <sheet name="Tower_12THAHU2" sheetId="3" r:id="rId3"/>
    <sheet name="Tower_12THAHU3" sheetId="4" r:id="rId4"/>
    <sheet name="Tower_11THAHU1" sheetId="5" r:id="rId5"/>
    <sheet name="Tower_11THAHU4" sheetId="6" r:id="rId6"/>
    <sheet name="Tower_11THAHU2" sheetId="7" r:id="rId7"/>
    <sheet name="Tower_11THAHU3" sheetId="8" r:id="rId8"/>
    <sheet name="Tower_10THAHU2" sheetId="9" r:id="rId9"/>
    <sheet name="Tower_10THAHU3" sheetId="10" r:id="rId10"/>
    <sheet name="Tower_9THAHU1" sheetId="11" r:id="rId11"/>
    <sheet name="Tower_9THAHU4" sheetId="12" r:id="rId12"/>
    <sheet name="Tower_9THAHU2" sheetId="13" r:id="rId13"/>
    <sheet name="Tower_9THAHU3" sheetId="14" r:id="rId14"/>
    <sheet name="Tower_8THAHU1" sheetId="15" r:id="rId15"/>
    <sheet name="Tower_8THAHU4" sheetId="16" r:id="rId16"/>
    <sheet name="Tower_8THAHU2" sheetId="17" r:id="rId17"/>
    <sheet name="Tower_8THAHU3" sheetId="18" r:id="rId18"/>
    <sheet name="Tower_7THAHU1" sheetId="19" r:id="rId19"/>
    <sheet name="Tower_7THAHU4" sheetId="20" r:id="rId20"/>
    <sheet name="Tower_7THAHU2" sheetId="21" r:id="rId21"/>
    <sheet name="Tower_7THAHU3" sheetId="22" r:id="rId22"/>
    <sheet name="Tower_6THAHU1" sheetId="23" r:id="rId23"/>
    <sheet name="Tower_6THAHU4" sheetId="24" r:id="rId24"/>
    <sheet name="Tower_6THAHU2" sheetId="25" r:id="rId25"/>
    <sheet name="Tower_6THAHU3" sheetId="26" r:id="rId26"/>
    <sheet name="Tower_5THAHU1" sheetId="27" r:id="rId27"/>
    <sheet name="Tower_5THAHU4" sheetId="28" r:id="rId28"/>
    <sheet name="Tower_5THAHU2" sheetId="29" r:id="rId29"/>
    <sheet name="Tower_5THAHU3" sheetId="30" r:id="rId30"/>
    <sheet name="Tower_4THAHU1" sheetId="31" r:id="rId31"/>
    <sheet name="Tower_4THAHU4" sheetId="32" r:id="rId32"/>
    <sheet name="Tower_4THAHU2" sheetId="33" r:id="rId33"/>
    <sheet name="Tower_4THAHU3" sheetId="34" r:id="rId34"/>
    <sheet name="Tower_3RDAHU1" sheetId="35" r:id="rId35"/>
    <sheet name="Tower_3RDAHU4" sheetId="36" r:id="rId36"/>
    <sheet name="Tower_3RDAHU2" sheetId="37" r:id="rId37"/>
    <sheet name="Tower_3RDAHU3" sheetId="38" r:id="rId38"/>
    <sheet name="Tower_2NDAHU1" sheetId="39" r:id="rId39"/>
    <sheet name="Tower_2NDAHU4" sheetId="40" r:id="rId40"/>
    <sheet name="Tower_2NDAHU2" sheetId="41" r:id="rId41"/>
    <sheet name="Tower_2NDAHU3" sheetId="42" r:id="rId42"/>
    <sheet name="Tower_1STAHU1VOLVO" sheetId="43" r:id="rId43"/>
    <sheet name="Tower_1STAHU2ATRIUM" sheetId="44" r:id="rId44"/>
  </sheets>
  <definedNames>
    <definedName name="_xlnm.Print_Area" localSheetId="8">Tower_10THAHU2!$A$1:$J$35</definedName>
    <definedName name="_xlnm.Print_Area" localSheetId="9">Tower_10THAHU3!$A$1:$J$35</definedName>
    <definedName name="_xlnm.Print_Area" localSheetId="4">Tower_11THAHU1!$A$1:$J$35</definedName>
    <definedName name="_xlnm.Print_Area" localSheetId="6">Tower_11THAHU2!$A$1:$J$35</definedName>
    <definedName name="_xlnm.Print_Area" localSheetId="7">Tower_11THAHU3!$A$1:$J$35</definedName>
    <definedName name="_xlnm.Print_Area" localSheetId="5">Tower_11THAHU4!$A$1:$J$35</definedName>
    <definedName name="_xlnm.Print_Area" localSheetId="0">Tower_12THAHU1!$A$1:$J$35</definedName>
    <definedName name="_xlnm.Print_Area" localSheetId="2">Tower_12THAHU2!$A$1:$J$35</definedName>
    <definedName name="_xlnm.Print_Area" localSheetId="3">Tower_12THAHU3!$A$1:$J$35</definedName>
    <definedName name="_xlnm.Print_Area" localSheetId="1">Tower_12THAHU4!$A$1:$J$35</definedName>
    <definedName name="_xlnm.Print_Area" localSheetId="42">Tower_1STAHU1VOLVO!$A$1:$J$35</definedName>
    <definedName name="_xlnm.Print_Area" localSheetId="43">Tower_1STAHU2ATRIUM!$A$1:$J$35</definedName>
    <definedName name="_xlnm.Print_Area" localSheetId="38">Tower_2NDAHU1!$A$1:$J$35</definedName>
    <definedName name="_xlnm.Print_Area" localSheetId="40">Tower_2NDAHU2!$A$1:$J$35</definedName>
    <definedName name="_xlnm.Print_Area" localSheetId="41">Tower_2NDAHU3!$A$1:$J$35</definedName>
    <definedName name="_xlnm.Print_Area" localSheetId="39">Tower_2NDAHU4!$A$1:$J$35</definedName>
    <definedName name="_xlnm.Print_Area" localSheetId="34">Tower_3RDAHU1!$A$1:$J$35</definedName>
    <definedName name="_xlnm.Print_Area" localSheetId="36">Tower_3RDAHU2!$A$1:$J$35</definedName>
    <definedName name="_xlnm.Print_Area" localSheetId="37">Tower_3RDAHU3!$A$1:$J$35</definedName>
    <definedName name="_xlnm.Print_Area" localSheetId="35">Tower_3RDAHU4!$A$1:$J$35</definedName>
    <definedName name="_xlnm.Print_Area" localSheetId="30">Tower_4THAHU1!$A$1:$J$35</definedName>
    <definedName name="_xlnm.Print_Area" localSheetId="32">Tower_4THAHU2!$A$1:$J$35</definedName>
    <definedName name="_xlnm.Print_Area" localSheetId="33">Tower_4THAHU3!$A$1:$J$35</definedName>
    <definedName name="_xlnm.Print_Area" localSheetId="31">Tower_4THAHU4!$A$1:$J$35</definedName>
    <definedName name="_xlnm.Print_Area" localSheetId="26">Tower_5THAHU1!$A$1:$J$35</definedName>
    <definedName name="_xlnm.Print_Area" localSheetId="28">Tower_5THAHU2!$A$1:$J$35</definedName>
    <definedName name="_xlnm.Print_Area" localSheetId="29">Tower_5THAHU3!$A$1:$J$35</definedName>
    <definedName name="_xlnm.Print_Area" localSheetId="27">Tower_5THAHU4!$A$1:$J$35</definedName>
    <definedName name="_xlnm.Print_Area" localSheetId="22">Tower_6THAHU1!$A$1:$J$35</definedName>
    <definedName name="_xlnm.Print_Area" localSheetId="24">Tower_6THAHU2!$A$1:$J$35</definedName>
    <definedName name="_xlnm.Print_Area" localSheetId="25">Tower_6THAHU3!$A$1:$J$35</definedName>
    <definedName name="_xlnm.Print_Area" localSheetId="23">Tower_6THAHU4!$A$1:$J$35</definedName>
    <definedName name="_xlnm.Print_Area" localSheetId="18">Tower_7THAHU1!$A$1:$J$35</definedName>
    <definedName name="_xlnm.Print_Area" localSheetId="20">Tower_7THAHU2!$A$1:$J$35</definedName>
    <definedName name="_xlnm.Print_Area" localSheetId="21">Tower_7THAHU3!$A$1:$J$35</definedName>
    <definedName name="_xlnm.Print_Area" localSheetId="19">Tower_7THAHU4!$A$1:$J$35</definedName>
    <definedName name="_xlnm.Print_Area" localSheetId="14">Tower_8THAHU1!$A$1:$J$35</definedName>
    <definedName name="_xlnm.Print_Area" localSheetId="16">Tower_8THAHU2!$A$1:$J$35</definedName>
    <definedName name="_xlnm.Print_Area" localSheetId="17">Tower_8THAHU3!$A$1:$J$35</definedName>
    <definedName name="_xlnm.Print_Area" localSheetId="15">Tower_8THAHU4!$A$1:$J$35</definedName>
    <definedName name="_xlnm.Print_Area" localSheetId="10">Tower_9THAHU1!$A$1:$J$35</definedName>
    <definedName name="_xlnm.Print_Area" localSheetId="12">Tower_9THAHU2!$A$1:$J$35</definedName>
    <definedName name="_xlnm.Print_Area" localSheetId="13">Tower_9THAHU3!$A$1:$J$35</definedName>
    <definedName name="_xlnm.Print_Area" localSheetId="11">Tower_9THAHU4!$A$1:$J$35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44" l="1"/>
  <c r="D22" i="44"/>
  <c r="E21" i="44"/>
  <c r="E20" i="44"/>
  <c r="G16" i="44"/>
  <c r="E15" i="44"/>
  <c r="E14" i="44"/>
  <c r="G22" i="43"/>
  <c r="D22" i="43"/>
  <c r="E21" i="43"/>
  <c r="E20" i="43"/>
  <c r="G16" i="43"/>
  <c r="E15" i="43"/>
  <c r="E14" i="43"/>
  <c r="G22" i="42"/>
  <c r="D22" i="42"/>
  <c r="E21" i="42"/>
  <c r="E20" i="42"/>
  <c r="G16" i="42"/>
  <c r="E15" i="42"/>
  <c r="E14" i="42"/>
  <c r="G22" i="41"/>
  <c r="D22" i="41"/>
  <c r="E21" i="41"/>
  <c r="E20" i="41"/>
  <c r="E22" i="41" s="1"/>
  <c r="G16" i="41"/>
  <c r="E15" i="41"/>
  <c r="E14" i="41"/>
  <c r="G22" i="40"/>
  <c r="D22" i="40"/>
  <c r="E21" i="40"/>
  <c r="E20" i="40"/>
  <c r="G16" i="40"/>
  <c r="E15" i="40"/>
  <c r="E14" i="40"/>
  <c r="G22" i="39"/>
  <c r="D22" i="39"/>
  <c r="E21" i="39"/>
  <c r="E20" i="39"/>
  <c r="E22" i="39" s="1"/>
  <c r="G16" i="39"/>
  <c r="E15" i="39"/>
  <c r="E14" i="39"/>
  <c r="G22" i="38"/>
  <c r="D22" i="38"/>
  <c r="E21" i="38"/>
  <c r="E20" i="38"/>
  <c r="G16" i="38"/>
  <c r="E15" i="38"/>
  <c r="E14" i="38"/>
  <c r="G22" i="37"/>
  <c r="D22" i="37"/>
  <c r="E21" i="37"/>
  <c r="E20" i="37"/>
  <c r="G16" i="37"/>
  <c r="E15" i="37"/>
  <c r="E14" i="37"/>
  <c r="G22" i="36"/>
  <c r="D22" i="36"/>
  <c r="E21" i="36"/>
  <c r="E20" i="36"/>
  <c r="G16" i="36"/>
  <c r="E15" i="36"/>
  <c r="E14" i="36"/>
  <c r="G22" i="35"/>
  <c r="D22" i="35"/>
  <c r="E21" i="35"/>
  <c r="E22" i="35" s="1"/>
  <c r="E20" i="35"/>
  <c r="G16" i="35"/>
  <c r="E15" i="35"/>
  <c r="E14" i="35"/>
  <c r="G22" i="34"/>
  <c r="D22" i="34"/>
  <c r="E21" i="34"/>
  <c r="E22" i="34" s="1"/>
  <c r="E20" i="34"/>
  <c r="G16" i="34"/>
  <c r="E15" i="34"/>
  <c r="E14" i="34"/>
  <c r="G22" i="33"/>
  <c r="D22" i="33"/>
  <c r="E21" i="33"/>
  <c r="E20" i="33"/>
  <c r="G16" i="33"/>
  <c r="E15" i="33"/>
  <c r="E14" i="33"/>
  <c r="G22" i="32"/>
  <c r="D22" i="32"/>
  <c r="E21" i="32"/>
  <c r="E20" i="32"/>
  <c r="E22" i="32" s="1"/>
  <c r="G16" i="32"/>
  <c r="E15" i="32"/>
  <c r="E14" i="32"/>
  <c r="G22" i="31"/>
  <c r="D22" i="31"/>
  <c r="E21" i="31"/>
  <c r="E20" i="31"/>
  <c r="G16" i="31"/>
  <c r="E15" i="31"/>
  <c r="E14" i="31"/>
  <c r="G22" i="30"/>
  <c r="D22" i="30"/>
  <c r="E21" i="30"/>
  <c r="E22" i="30" s="1"/>
  <c r="E20" i="30"/>
  <c r="G16" i="30"/>
  <c r="E15" i="30"/>
  <c r="E16" i="30" s="1"/>
  <c r="E14" i="30"/>
  <c r="G22" i="29"/>
  <c r="D22" i="29"/>
  <c r="E21" i="29"/>
  <c r="E20" i="29"/>
  <c r="G16" i="29"/>
  <c r="E15" i="29"/>
  <c r="E14" i="29"/>
  <c r="G22" i="28"/>
  <c r="D22" i="28"/>
  <c r="E21" i="28"/>
  <c r="E22" i="28" s="1"/>
  <c r="H22" i="28" s="1"/>
  <c r="I22" i="28" s="1"/>
  <c r="E20" i="28"/>
  <c r="G16" i="28"/>
  <c r="E15" i="28"/>
  <c r="E14" i="28"/>
  <c r="G22" i="27"/>
  <c r="D22" i="27"/>
  <c r="E21" i="27"/>
  <c r="E20" i="27"/>
  <c r="G16" i="27"/>
  <c r="E15" i="27"/>
  <c r="E14" i="27"/>
  <c r="G22" i="26"/>
  <c r="D22" i="26"/>
  <c r="E21" i="26"/>
  <c r="E20" i="26"/>
  <c r="G16" i="26"/>
  <c r="E15" i="26"/>
  <c r="E14" i="26"/>
  <c r="G22" i="25"/>
  <c r="D22" i="25"/>
  <c r="E21" i="25"/>
  <c r="E20" i="25"/>
  <c r="G16" i="25"/>
  <c r="E15" i="25"/>
  <c r="E14" i="25"/>
  <c r="E16" i="25" s="1"/>
  <c r="G22" i="24"/>
  <c r="D22" i="24"/>
  <c r="E21" i="24"/>
  <c r="E20" i="24"/>
  <c r="G16" i="24"/>
  <c r="E15" i="24"/>
  <c r="E14" i="24"/>
  <c r="G22" i="23"/>
  <c r="D22" i="23"/>
  <c r="E21" i="23"/>
  <c r="E20" i="23"/>
  <c r="G16" i="23"/>
  <c r="E15" i="23"/>
  <c r="E14" i="23"/>
  <c r="G22" i="22"/>
  <c r="D22" i="22"/>
  <c r="E21" i="22"/>
  <c r="E20" i="22"/>
  <c r="G16" i="22"/>
  <c r="E15" i="22"/>
  <c r="E14" i="22"/>
  <c r="G22" i="21"/>
  <c r="D22" i="21"/>
  <c r="E21" i="21"/>
  <c r="E20" i="21"/>
  <c r="G16" i="21"/>
  <c r="E15" i="21"/>
  <c r="E14" i="21"/>
  <c r="G22" i="20"/>
  <c r="D22" i="20"/>
  <c r="E21" i="20"/>
  <c r="E20" i="20"/>
  <c r="G16" i="20"/>
  <c r="E15" i="20"/>
  <c r="E14" i="20"/>
  <c r="G22" i="19"/>
  <c r="D22" i="19"/>
  <c r="E21" i="19"/>
  <c r="E20" i="19"/>
  <c r="G16" i="19"/>
  <c r="E15" i="19"/>
  <c r="E14" i="19"/>
  <c r="G22" i="18"/>
  <c r="D22" i="18"/>
  <c r="E21" i="18"/>
  <c r="E22" i="18" s="1"/>
  <c r="E20" i="18"/>
  <c r="G16" i="18"/>
  <c r="E15" i="18"/>
  <c r="E14" i="18"/>
  <c r="G22" i="17"/>
  <c r="D22" i="17"/>
  <c r="E21" i="17"/>
  <c r="E20" i="17"/>
  <c r="G16" i="17"/>
  <c r="E15" i="17"/>
  <c r="E14" i="17"/>
  <c r="G22" i="16"/>
  <c r="D22" i="16"/>
  <c r="E21" i="16"/>
  <c r="E20" i="16"/>
  <c r="G16" i="16"/>
  <c r="E15" i="16"/>
  <c r="E14" i="16"/>
  <c r="G22" i="15"/>
  <c r="D22" i="15"/>
  <c r="E21" i="15"/>
  <c r="E20" i="15"/>
  <c r="G16" i="15"/>
  <c r="E15" i="15"/>
  <c r="E14" i="15"/>
  <c r="G22" i="14"/>
  <c r="D22" i="14"/>
  <c r="E21" i="14"/>
  <c r="E20" i="14"/>
  <c r="G16" i="14"/>
  <c r="E15" i="14"/>
  <c r="E14" i="14"/>
  <c r="G22" i="13"/>
  <c r="D22" i="13"/>
  <c r="E21" i="13"/>
  <c r="E20" i="13"/>
  <c r="G16" i="13"/>
  <c r="E15" i="13"/>
  <c r="E14" i="13"/>
  <c r="G22" i="12"/>
  <c r="D22" i="12"/>
  <c r="E21" i="12"/>
  <c r="E20" i="12"/>
  <c r="G16" i="12"/>
  <c r="E15" i="12"/>
  <c r="E14" i="12"/>
  <c r="G22" i="11"/>
  <c r="D22" i="11"/>
  <c r="E21" i="11"/>
  <c r="E20" i="11"/>
  <c r="G16" i="11"/>
  <c r="E15" i="11"/>
  <c r="E14" i="11"/>
  <c r="G22" i="10"/>
  <c r="D22" i="10"/>
  <c r="E21" i="10"/>
  <c r="E20" i="10"/>
  <c r="G16" i="10"/>
  <c r="E15" i="10"/>
  <c r="E14" i="10"/>
  <c r="G22" i="9"/>
  <c r="D22" i="9"/>
  <c r="E21" i="9"/>
  <c r="E20" i="9"/>
  <c r="G16" i="9"/>
  <c r="E15" i="9"/>
  <c r="E14" i="9"/>
  <c r="G22" i="8"/>
  <c r="D22" i="8"/>
  <c r="E21" i="8"/>
  <c r="E20" i="8"/>
  <c r="G16" i="8"/>
  <c r="E15" i="8"/>
  <c r="E14" i="8"/>
  <c r="G22" i="7"/>
  <c r="D22" i="7"/>
  <c r="E21" i="7"/>
  <c r="E20" i="7"/>
  <c r="G16" i="7"/>
  <c r="E15" i="7"/>
  <c r="E14" i="7"/>
  <c r="G22" i="6"/>
  <c r="D22" i="6"/>
  <c r="E21" i="6"/>
  <c r="E20" i="6"/>
  <c r="G16" i="6"/>
  <c r="E15" i="6"/>
  <c r="E14" i="6"/>
  <c r="G22" i="5"/>
  <c r="D22" i="5"/>
  <c r="E21" i="5"/>
  <c r="E20" i="5"/>
  <c r="G16" i="5"/>
  <c r="E15" i="5"/>
  <c r="E14" i="5"/>
  <c r="G22" i="4"/>
  <c r="D22" i="4"/>
  <c r="E21" i="4"/>
  <c r="E20" i="4"/>
  <c r="G16" i="4"/>
  <c r="E15" i="4"/>
  <c r="E14" i="4"/>
  <c r="G22" i="3"/>
  <c r="D22" i="3"/>
  <c r="E21" i="3"/>
  <c r="E20" i="3"/>
  <c r="G16" i="3"/>
  <c r="E15" i="3"/>
  <c r="E14" i="3"/>
  <c r="G22" i="2"/>
  <c r="D22" i="2"/>
  <c r="E21" i="2"/>
  <c r="E20" i="2"/>
  <c r="G16" i="2"/>
  <c r="E15" i="2"/>
  <c r="E14" i="2"/>
  <c r="E14" i="1"/>
  <c r="E15" i="1"/>
  <c r="G16" i="1"/>
  <c r="E20" i="1"/>
  <c r="E21" i="1"/>
  <c r="D22" i="1"/>
  <c r="E22" i="1"/>
  <c r="G22" i="1"/>
  <c r="E22" i="44" l="1"/>
  <c r="E16" i="44"/>
  <c r="H16" i="44"/>
  <c r="I16" i="44" s="1"/>
  <c r="H22" i="44"/>
  <c r="I22" i="44" s="1"/>
  <c r="E22" i="43"/>
  <c r="E16" i="43"/>
  <c r="H16" i="43" s="1"/>
  <c r="I16" i="43" s="1"/>
  <c r="H22" i="43"/>
  <c r="I22" i="43" s="1"/>
  <c r="E22" i="42"/>
  <c r="H22" i="42" s="1"/>
  <c r="I22" i="42" s="1"/>
  <c r="E16" i="42"/>
  <c r="H16" i="42" s="1"/>
  <c r="I16" i="42" s="1"/>
  <c r="H22" i="41"/>
  <c r="I22" i="41" s="1"/>
  <c r="E16" i="41"/>
  <c r="H16" i="41" s="1"/>
  <c r="I16" i="41" s="1"/>
  <c r="E22" i="40"/>
  <c r="E16" i="40"/>
  <c r="H16" i="40"/>
  <c r="I16" i="40" s="1"/>
  <c r="H22" i="40"/>
  <c r="I22" i="40" s="1"/>
  <c r="H22" i="39"/>
  <c r="I22" i="39" s="1"/>
  <c r="E16" i="39"/>
  <c r="H16" i="39"/>
  <c r="I16" i="39" s="1"/>
  <c r="E22" i="38"/>
  <c r="E16" i="38"/>
  <c r="H16" i="38"/>
  <c r="I16" i="38" s="1"/>
  <c r="H22" i="38"/>
  <c r="I22" i="38" s="1"/>
  <c r="E22" i="37"/>
  <c r="H22" i="37"/>
  <c r="I22" i="37" s="1"/>
  <c r="E16" i="37"/>
  <c r="H16" i="37" s="1"/>
  <c r="I16" i="37" s="1"/>
  <c r="E22" i="36"/>
  <c r="E16" i="36"/>
  <c r="H16" i="36"/>
  <c r="I16" i="36" s="1"/>
  <c r="H22" i="36"/>
  <c r="I22" i="36" s="1"/>
  <c r="E16" i="35"/>
  <c r="H16" i="35"/>
  <c r="I16" i="35" s="1"/>
  <c r="H22" i="35"/>
  <c r="I22" i="35" s="1"/>
  <c r="H22" i="34"/>
  <c r="I22" i="34" s="1"/>
  <c r="E16" i="34"/>
  <c r="H16" i="34"/>
  <c r="I16" i="34" s="1"/>
  <c r="E22" i="33"/>
  <c r="E16" i="33"/>
  <c r="H16" i="33"/>
  <c r="I16" i="33" s="1"/>
  <c r="H22" i="33"/>
  <c r="I22" i="33" s="1"/>
  <c r="H22" i="32"/>
  <c r="I22" i="32" s="1"/>
  <c r="E16" i="32"/>
  <c r="H16" i="32"/>
  <c r="I16" i="32" s="1"/>
  <c r="E22" i="31"/>
  <c r="E16" i="31"/>
  <c r="H16" i="31"/>
  <c r="I16" i="31" s="1"/>
  <c r="H22" i="31"/>
  <c r="I22" i="31" s="1"/>
  <c r="H16" i="30"/>
  <c r="I16" i="30" s="1"/>
  <c r="H22" i="30"/>
  <c r="I22" i="30" s="1"/>
  <c r="E22" i="29"/>
  <c r="E16" i="29"/>
  <c r="H16" i="29"/>
  <c r="I16" i="29" s="1"/>
  <c r="H22" i="29"/>
  <c r="I22" i="29" s="1"/>
  <c r="E16" i="28"/>
  <c r="H16" i="28"/>
  <c r="I16" i="28" s="1"/>
  <c r="E22" i="27"/>
  <c r="E16" i="27"/>
  <c r="H16" i="27"/>
  <c r="I16" i="27" s="1"/>
  <c r="H22" i="27"/>
  <c r="I22" i="27" s="1"/>
  <c r="E22" i="26"/>
  <c r="E16" i="26"/>
  <c r="H16" i="26"/>
  <c r="I16" i="26" s="1"/>
  <c r="H22" i="26"/>
  <c r="I22" i="26" s="1"/>
  <c r="E22" i="25"/>
  <c r="H16" i="25"/>
  <c r="I16" i="25" s="1"/>
  <c r="H22" i="25"/>
  <c r="I22" i="25" s="1"/>
  <c r="E22" i="24"/>
  <c r="E16" i="24"/>
  <c r="H16" i="24"/>
  <c r="I16" i="24" s="1"/>
  <c r="H22" i="24"/>
  <c r="I22" i="24" s="1"/>
  <c r="E22" i="23"/>
  <c r="E16" i="23"/>
  <c r="H16" i="23" s="1"/>
  <c r="I16" i="23" s="1"/>
  <c r="H22" i="23"/>
  <c r="I22" i="23" s="1"/>
  <c r="E22" i="22"/>
  <c r="E16" i="22"/>
  <c r="H16" i="22"/>
  <c r="I16" i="22" s="1"/>
  <c r="H22" i="22"/>
  <c r="I22" i="22" s="1"/>
  <c r="E22" i="21"/>
  <c r="E16" i="21"/>
  <c r="H16" i="21"/>
  <c r="I16" i="21" s="1"/>
  <c r="H22" i="21"/>
  <c r="I22" i="21" s="1"/>
  <c r="E22" i="20"/>
  <c r="H22" i="20" s="1"/>
  <c r="I22" i="20" s="1"/>
  <c r="E16" i="20"/>
  <c r="H16" i="20"/>
  <c r="I16" i="20" s="1"/>
  <c r="E22" i="19"/>
  <c r="E16" i="19"/>
  <c r="H16" i="19"/>
  <c r="I16" i="19" s="1"/>
  <c r="H22" i="19"/>
  <c r="I22" i="19" s="1"/>
  <c r="E16" i="18"/>
  <c r="H16" i="18" s="1"/>
  <c r="I16" i="18" s="1"/>
  <c r="H22" i="18"/>
  <c r="I22" i="18" s="1"/>
  <c r="E22" i="17"/>
  <c r="E16" i="17"/>
  <c r="H16" i="17"/>
  <c r="I16" i="17" s="1"/>
  <c r="H22" i="17"/>
  <c r="I22" i="17" s="1"/>
  <c r="E22" i="16"/>
  <c r="E16" i="16"/>
  <c r="H16" i="16"/>
  <c r="I16" i="16" s="1"/>
  <c r="H22" i="16"/>
  <c r="I22" i="16" s="1"/>
  <c r="E22" i="15"/>
  <c r="E16" i="15"/>
  <c r="H16" i="15"/>
  <c r="I16" i="15" s="1"/>
  <c r="H22" i="15"/>
  <c r="I22" i="15" s="1"/>
  <c r="E22" i="14"/>
  <c r="E16" i="14"/>
  <c r="H16" i="14" s="1"/>
  <c r="I16" i="14" s="1"/>
  <c r="H22" i="14"/>
  <c r="I22" i="14" s="1"/>
  <c r="E22" i="13"/>
  <c r="E16" i="13"/>
  <c r="H16" i="13"/>
  <c r="I16" i="13" s="1"/>
  <c r="H22" i="13"/>
  <c r="I22" i="13" s="1"/>
  <c r="E22" i="12"/>
  <c r="E16" i="12"/>
  <c r="H16" i="12" s="1"/>
  <c r="I16" i="12" s="1"/>
  <c r="H22" i="12"/>
  <c r="I22" i="12" s="1"/>
  <c r="E22" i="11"/>
  <c r="E16" i="11"/>
  <c r="H16" i="11"/>
  <c r="I16" i="11" s="1"/>
  <c r="H22" i="11"/>
  <c r="I22" i="11" s="1"/>
  <c r="E22" i="10"/>
  <c r="E16" i="10"/>
  <c r="H16" i="10"/>
  <c r="I16" i="10" s="1"/>
  <c r="H22" i="10"/>
  <c r="I22" i="10" s="1"/>
  <c r="E22" i="9"/>
  <c r="H22" i="9" s="1"/>
  <c r="I22" i="9" s="1"/>
  <c r="E16" i="9"/>
  <c r="H16" i="9" s="1"/>
  <c r="I16" i="9" s="1"/>
  <c r="E22" i="8"/>
  <c r="E16" i="8"/>
  <c r="H16" i="8" s="1"/>
  <c r="I16" i="8" s="1"/>
  <c r="H22" i="8"/>
  <c r="I22" i="8" s="1"/>
  <c r="E22" i="7"/>
  <c r="E16" i="7"/>
  <c r="H16" i="7"/>
  <c r="I16" i="7" s="1"/>
  <c r="H22" i="7"/>
  <c r="I22" i="7" s="1"/>
  <c r="E22" i="6"/>
  <c r="E16" i="6"/>
  <c r="H16" i="6"/>
  <c r="I16" i="6" s="1"/>
  <c r="H22" i="6"/>
  <c r="I22" i="6" s="1"/>
  <c r="E22" i="5"/>
  <c r="E16" i="5"/>
  <c r="H16" i="5"/>
  <c r="I16" i="5" s="1"/>
  <c r="H22" i="5"/>
  <c r="I22" i="5" s="1"/>
  <c r="E22" i="4"/>
  <c r="E16" i="4"/>
  <c r="H16" i="4"/>
  <c r="I16" i="4" s="1"/>
  <c r="H22" i="4"/>
  <c r="I22" i="4" s="1"/>
  <c r="E22" i="3"/>
  <c r="E16" i="3"/>
  <c r="H16" i="3"/>
  <c r="I16" i="3" s="1"/>
  <c r="H22" i="3"/>
  <c r="I22" i="3" s="1"/>
  <c r="E22" i="2"/>
  <c r="E16" i="2"/>
  <c r="H16" i="2"/>
  <c r="I16" i="2" s="1"/>
  <c r="H22" i="2"/>
  <c r="I22" i="2" s="1"/>
  <c r="H22" i="1"/>
  <c r="I22" i="1" s="1"/>
  <c r="E16" i="1"/>
  <c r="H16" i="1" s="1"/>
  <c r="I16" i="1" s="1"/>
</calcChain>
</file>

<file path=xl/sharedStrings.xml><?xml version="1.0" encoding="utf-8"?>
<sst xmlns="http://schemas.openxmlformats.org/spreadsheetml/2006/main" count="1364" uniqueCount="189">
  <si>
    <t>(MANISH GAUTAM)</t>
  </si>
  <si>
    <t>Completed By</t>
  </si>
  <si>
    <t xml:space="preserve">Remark:- METER CALIBRATED SUCESSFULY </t>
  </si>
  <si>
    <t>Delta T</t>
  </si>
  <si>
    <t xml:space="preserve"> </t>
  </si>
  <si>
    <t>Outlet Temp</t>
  </si>
  <si>
    <t>Inlet Temp</t>
  </si>
  <si>
    <t>BTU= GPM x DeltaT x 500</t>
  </si>
  <si>
    <t>GPM</t>
  </si>
  <si>
    <t>M3/Hr</t>
  </si>
  <si>
    <t>Fahrenheit</t>
  </si>
  <si>
    <t>Degree Cel</t>
  </si>
  <si>
    <t>After Calibration(100% Valve open)</t>
  </si>
  <si>
    <t>Before Calibration(100% Valve Open)</t>
  </si>
  <si>
    <t>Model No : tprime-280 T</t>
  </si>
  <si>
    <t>Meter Size : DN-65</t>
  </si>
  <si>
    <t xml:space="preserve">                    Location : Cyber Park</t>
  </si>
  <si>
    <t>BTU Meter Calibration Report</t>
  </si>
  <si>
    <t xml:space="preserve">Registered Office:
612, Swastik Disa Corporate Park, LBS Road, Ghatkopar (West), Mumbai 
Maharashtra -400086
</t>
  </si>
  <si>
    <t>Serial No: 80589004</t>
  </si>
  <si>
    <t>Meter Location : 12TH/AHU1</t>
  </si>
  <si>
    <t>Meter Size : DN-50</t>
  </si>
  <si>
    <t>MWH= BTU*1016.63</t>
  </si>
  <si>
    <t>MWH= BTU*1016.64</t>
  </si>
  <si>
    <t>Serial No: 86119074</t>
  </si>
  <si>
    <t>Meter Location : 12th/AHU4</t>
  </si>
  <si>
    <t>MWH= BTU*1888.93</t>
  </si>
  <si>
    <t>MWH= BTU*1888.94</t>
  </si>
  <si>
    <t>Serial No: 85119042</t>
  </si>
  <si>
    <t>Meter Location : 12th/AHU2</t>
  </si>
  <si>
    <t>MWH= BTU*1494.67</t>
  </si>
  <si>
    <t>MWH= BTU*1494.68</t>
  </si>
  <si>
    <t>Serial No: 80589074</t>
  </si>
  <si>
    <t>Meter Location : 12th/AHU3</t>
  </si>
  <si>
    <t>MWH= BTU*1129.36</t>
  </si>
  <si>
    <t>MWH= BTU*1129.37</t>
  </si>
  <si>
    <t>Serial No: 85119011</t>
  </si>
  <si>
    <t>Meter Location : 11th/AHU1</t>
  </si>
  <si>
    <t>MWH= BTU*795.71</t>
  </si>
  <si>
    <t>MWH= BTU*795.73</t>
  </si>
  <si>
    <t>Serial No: 80599164</t>
  </si>
  <si>
    <t>Meter Location : 11th/AHU4</t>
  </si>
  <si>
    <t>MWH= BTU*706.08</t>
  </si>
  <si>
    <t>Serial No: 84089148</t>
  </si>
  <si>
    <t>Meter Location : 11th/AHU2</t>
  </si>
  <si>
    <t>MWH= BTU*886.2</t>
  </si>
  <si>
    <t>MWH= BTU*886.21</t>
  </si>
  <si>
    <t>Serial No: 86119019</t>
  </si>
  <si>
    <t>Meter Location : 11th/AHU3</t>
  </si>
  <si>
    <t>KWH= BTU*1255.45</t>
  </si>
  <si>
    <t>KWH= BTU*1255.47</t>
  </si>
  <si>
    <t>Serial No: 86119015</t>
  </si>
  <si>
    <t>Meter Location : 10th/AHU2</t>
  </si>
  <si>
    <t>KWH= BTU*589842.29</t>
  </si>
  <si>
    <t>Serial No: 86119023</t>
  </si>
  <si>
    <t>Meter Location : 10th/AHU3</t>
  </si>
  <si>
    <t>MWH= BTU*956.25</t>
  </si>
  <si>
    <t>MWH= BTU*956.26</t>
  </si>
  <si>
    <t>Serial No: 86119059</t>
  </si>
  <si>
    <t>Meter Location : 9th/AHU1</t>
  </si>
  <si>
    <t>MWH= BTU*515.58</t>
  </si>
  <si>
    <t>MWH= BTU*515.59</t>
  </si>
  <si>
    <t>Serial No: 86229016</t>
  </si>
  <si>
    <t>Meter Location : 9th/AHU4</t>
  </si>
  <si>
    <t>MWH= BTU*600.21</t>
  </si>
  <si>
    <t>MWH= BTU*600.22</t>
  </si>
  <si>
    <t>Serial No: 86119017</t>
  </si>
  <si>
    <t>Meter Location : 9th/AHU2</t>
  </si>
  <si>
    <t>MWH= BTU*832.4</t>
  </si>
  <si>
    <t>MWH= BTU*832.42</t>
  </si>
  <si>
    <t>Serial No: 84089153</t>
  </si>
  <si>
    <t>Meter Location : 9th/AHU3</t>
  </si>
  <si>
    <t>MWH= BTU*629.87</t>
  </si>
  <si>
    <t>MWH= BTU*629.88</t>
  </si>
  <si>
    <t>Serial No: 85119006</t>
  </si>
  <si>
    <t>Meter Location : 8th/AHU1</t>
  </si>
  <si>
    <t>MWH= BTU*673.01</t>
  </si>
  <si>
    <t>MWH= BTU*673.02</t>
  </si>
  <si>
    <t>Serial No: 86119067</t>
  </si>
  <si>
    <t>Meter Location : 8th/AHU4</t>
  </si>
  <si>
    <t>KWH= BTU*543274.09</t>
  </si>
  <si>
    <t>KWH= BTU*543274.1</t>
  </si>
  <si>
    <t>Serial No: 86119071</t>
  </si>
  <si>
    <t>Meter Location : 8th/AHU2</t>
  </si>
  <si>
    <t>MWH= BTU*953.36</t>
  </si>
  <si>
    <t>Serial No: 86119036</t>
  </si>
  <si>
    <t>Meter Location : 8th/AHU3</t>
  </si>
  <si>
    <t>MWH= BTU*1231.76</t>
  </si>
  <si>
    <t>MWH= BTU*1231.78</t>
  </si>
  <si>
    <t>Serial No: 80599038</t>
  </si>
  <si>
    <t>Meter Location : 7th/AHU1</t>
  </si>
  <si>
    <t>MWH= BTU*683.42</t>
  </si>
  <si>
    <t>MWH= BTU*683.44</t>
  </si>
  <si>
    <t>Serial No: 86069001</t>
  </si>
  <si>
    <t>Meter Location : 7th/AHU4</t>
  </si>
  <si>
    <t>MWH= BTU*585.98</t>
  </si>
  <si>
    <t>MWH= BTU*585.99</t>
  </si>
  <si>
    <t>Serial No: 86119043</t>
  </si>
  <si>
    <t>Meter Location : 7th/AHU2</t>
  </si>
  <si>
    <t>MWH= BTU*949.8</t>
  </si>
  <si>
    <t>MWH= BTU*949.81</t>
  </si>
  <si>
    <t>Serial No: 86119051</t>
  </si>
  <si>
    <t>Meter Location : 7th/AHU3</t>
  </si>
  <si>
    <t>MWH= BTU*863.7</t>
  </si>
  <si>
    <t>MWH= BTU*863.71</t>
  </si>
  <si>
    <t>Serial No: 86229013</t>
  </si>
  <si>
    <t>Meter Location : 6th/AHU1</t>
  </si>
  <si>
    <t>KWH= BTU*742.58</t>
  </si>
  <si>
    <t>Serial No: 80599039</t>
  </si>
  <si>
    <t>Meter Location : 6th/AHU4</t>
  </si>
  <si>
    <t>KWH= BTU*466.86</t>
  </si>
  <si>
    <t>KWH= BTU*466.88</t>
  </si>
  <si>
    <t>Serial No: 86119021</t>
  </si>
  <si>
    <t>Meter Location : 6th/AHU2</t>
  </si>
  <si>
    <t>KWH= BTU*355.89</t>
  </si>
  <si>
    <t>KWH= BTU*355.9</t>
  </si>
  <si>
    <t>Serial No: 86119079</t>
  </si>
  <si>
    <t>Meter Location : 6th/AHU3</t>
  </si>
  <si>
    <t>KWH= BTU*587.41</t>
  </si>
  <si>
    <t>KWH= BTU*587.44</t>
  </si>
  <si>
    <t>Serial No: 86119058</t>
  </si>
  <si>
    <t>Meter Location : 5th/AHU1</t>
  </si>
  <si>
    <t>MWH= BTU*592.72</t>
  </si>
  <si>
    <t>MWH= BTU*592.78</t>
  </si>
  <si>
    <t>Serial No: 80599041</t>
  </si>
  <si>
    <t>Meter Location : 5th/AHU4</t>
  </si>
  <si>
    <t>MWH= BTU*667.79</t>
  </si>
  <si>
    <t>MWH= BTU*667.8</t>
  </si>
  <si>
    <t>Serial No: 80589083</t>
  </si>
  <si>
    <t>Meter Location : 5th/AHU2</t>
  </si>
  <si>
    <t>KWH= BTU*978.7</t>
  </si>
  <si>
    <t>KWH= BTU*987.7</t>
  </si>
  <si>
    <t>Serial No: 86119004</t>
  </si>
  <si>
    <t>Meter Location : 5th/AHU3</t>
  </si>
  <si>
    <t>Serial No: 80599170</t>
  </si>
  <si>
    <t>Meter Location : 4th/AHU1</t>
  </si>
  <si>
    <t>MWH= BTU*554.67</t>
  </si>
  <si>
    <t>MWH= BTU*554.68</t>
  </si>
  <si>
    <t>Serial No: 80589095</t>
  </si>
  <si>
    <t>Meter Location : 4th/AHU4</t>
  </si>
  <si>
    <t>MWH= BTU*500.23</t>
  </si>
  <si>
    <t>MWH= BTU*500.24</t>
  </si>
  <si>
    <t>Serial No: 80589081</t>
  </si>
  <si>
    <t>Meter Location : 4th/AHU2</t>
  </si>
  <si>
    <t>MWH= BTU*760.12</t>
  </si>
  <si>
    <t>MWH= BTU*760.13</t>
  </si>
  <si>
    <t>Serial No: 80599117</t>
  </si>
  <si>
    <t>Meter Location : 4th/AHU3</t>
  </si>
  <si>
    <t>Meter Size : DN-80</t>
  </si>
  <si>
    <t>MWH= BTU*913.34</t>
  </si>
  <si>
    <t>MWH= BTU*913.35</t>
  </si>
  <si>
    <t>Serial No: 85119077</t>
  </si>
  <si>
    <t>Meter Location : 3rd/AHU1</t>
  </si>
  <si>
    <t>MWH= BTU*172.45</t>
  </si>
  <si>
    <t>MWH= BTU*172.46</t>
  </si>
  <si>
    <t>Serial No: 85119060</t>
  </si>
  <si>
    <t>Meter Location : 3rd/AHU4</t>
  </si>
  <si>
    <t>MWH= BTU*1122.13</t>
  </si>
  <si>
    <t>MWH= BTU*1122.25</t>
  </si>
  <si>
    <t>Serial No: 86119049</t>
  </si>
  <si>
    <t>Meter Location : 3rd/AHU2</t>
  </si>
  <si>
    <t>MWH= BTU*961.18</t>
  </si>
  <si>
    <t>Serial No: 86119028</t>
  </si>
  <si>
    <t>Meter Location : 3rd/AHU3</t>
  </si>
  <si>
    <t>MWH= BTU*699.39</t>
  </si>
  <si>
    <t>MWH= BTU*699.41</t>
  </si>
  <si>
    <t>Serial No: 80589115</t>
  </si>
  <si>
    <t>Meter Location : 2nd/AHU1</t>
  </si>
  <si>
    <t>KWH= BTU*593.85</t>
  </si>
  <si>
    <t>KWH= BTU*593.86</t>
  </si>
  <si>
    <t>Serial No: 95269054</t>
  </si>
  <si>
    <t>Meter Location : 2nd/AHU4</t>
  </si>
  <si>
    <t>MWH= BTU*480.62</t>
  </si>
  <si>
    <t>Serial No: 81109062</t>
  </si>
  <si>
    <t>Meter Location : 2nd/AHU2</t>
  </si>
  <si>
    <t>MWH= BTU*753.81</t>
  </si>
  <si>
    <t>MWH= BTU*753.82</t>
  </si>
  <si>
    <t>Serial No: 98079005</t>
  </si>
  <si>
    <t>Meter Location : 2nd/AHU3</t>
  </si>
  <si>
    <t>KWH= BTU*864568.34</t>
  </si>
  <si>
    <t>KWH= BTU*864568.35</t>
  </si>
  <si>
    <t>Serial No: 9289017</t>
  </si>
  <si>
    <t>Meter Location : 1st/AHU1(VOLVO)</t>
  </si>
  <si>
    <t>KWH= BTU*348919.6</t>
  </si>
  <si>
    <t>KWH= BTU*348919.61</t>
  </si>
  <si>
    <t>Serial No: 86119062</t>
  </si>
  <si>
    <t>Meter Location : 1st/AHU2(Atrium)</t>
  </si>
  <si>
    <t>MWH= BTU*1626.05</t>
  </si>
  <si>
    <t>MWH= BTU*1626.07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</si>
</sst>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sz val="10"/>
      <name val="Tahoma"/>
      <family val="2"/>
    </font>
    <font>
      <b/>
      <sz val="24"/>
      <name val="Tahoma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22"/>
      <name val="Tahoma"/>
      <family val="2"/>
    </font>
    <font>
      <b/>
      <sz val="8"/>
      <color theme="1"/>
      <name val="Tahoma"/>
      <family val="2"/>
    </font>
    <font>
      <b/>
      <sz val="10"/>
      <name val="Tahoma"/>
      <family val="2"/>
    </font>
    <font>
      <b/>
      <u/>
      <sz val="20"/>
      <name val="Arial"/>
      <family val="2"/>
    </font>
    <font>
      <b/>
      <u/>
      <sz val="2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C734932D-8F52-476D-ABBE-F818CF5EB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E0F565C1-4E48-426E-B756-C2B800789A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1541462" y="3721100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F7CC0126-CC66-43C5-AE20-A1D20872D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0DB11B10-94A9-4AAE-8481-388B9776B0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8A792E3A-4756-4ACE-966B-5B8D31B56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42376B2E-A279-46EF-B35B-3BB6BC621B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66B327BC-2C32-4B8F-A1B8-71E4CB220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201C2AB3-6CF4-4AF6-90AD-99A2553645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23847BE4-499A-4D24-A3B9-59531B434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31EE2A5B-357B-463C-BE1B-CBEF94556B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86F7B23B-D997-4D9D-9168-D97B5F29B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1DBD62BA-65D9-458F-93D8-498CC3D389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5B19EECE-F7B0-4455-88AC-525DF3BDE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CECC7692-965E-4301-AF55-6B08120C57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1FD5DCE4-370B-48B2-A9B5-27ECAC52F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137F85A3-0EC0-41FD-A333-9059669F7F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CE33F5A0-14FB-40AA-89A9-7DD4FE4C7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A72ABE5D-ADB8-4DC0-BEA2-2432E14F63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0FDEFB3B-69E3-4D06-BDCD-92E31227B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D674A079-200F-4C5F-B6B7-41F0759FCB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BAACB591-D7B4-4784-A0FC-136FD56C2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258F201A-F3A0-46D3-B821-85334C5206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E31B805A-9BDF-49E0-8777-7895DF38E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65530635-3472-4E00-B276-8F32FE11FF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44856497-3DF6-463A-BD95-22FFEC01B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018074E0-EF80-4249-9F0B-C43AF7C68D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CB9C21A8-EB87-4CF9-899B-C2947C78E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997A3C31-283B-487E-BFF2-699BCC0AB2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B4B0E793-1F0A-4660-8CD6-F0879C798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56197172-4460-4172-814A-25435047A2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EA23473F-C7B2-4D63-A4D1-F8B1CF77C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2E6A091E-8E2A-4792-B1D8-47B36F4C24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641C8AE1-2B2A-4E19-88BA-60187D05A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BFE47182-FE2C-4EAC-9A66-A22E2DBE1D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D6A0C293-876C-4385-8B9C-7A4E4003B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7EBB3F16-49F6-442C-9642-CA8A1D1870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EBA52E02-53CE-4D0E-8005-EAE552333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B020FA3E-74D0-480D-B7AD-E04C33F810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3FD12970-FC6D-4D23-B80F-BC70FEFCB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5DA97043-9A06-498D-9CE2-C335744B8F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98D42D78-CCDD-4EA2-89EC-7F9645879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2199D974-B86F-48C2-A8DC-9EF84B68DF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4F1A8C53-6C6F-44F4-A470-3E9CB09E7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191338FC-2305-4C1A-99A0-F12AC37216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E8658C32-E848-4B20-A8B6-239F08C53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53CF0482-B7C8-49FF-9592-9A5A5F5761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64989538-8C35-4BAD-8DAF-1CA59DF23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E00A5F20-3563-42A8-9243-E75C5B31C3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6BABE33C-EF0A-491A-9DD6-8558BB27F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AED5B6E7-52E4-41EA-B2DF-641DD09621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EE3CE4F5-578E-48E7-89B1-9372FBAD5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0EC3E426-ACB3-4BA7-A227-577227661F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19AF8E49-093B-4262-9976-05F708CAB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A113CD59-4128-462A-8A73-D0B327180F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FE4F3EE9-DC34-4010-93BB-7F3F4B581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1FF4F70E-A028-403B-810D-C419060157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1DA257AC-D57F-47E2-B7EF-CB5DD3EF2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CD5905DA-201A-407D-B766-7BE2CE52D7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9AC60D88-C10B-4668-B948-54ECF97A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91327E87-0DAC-480A-9240-03A83C5806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88E98F41-34E0-44AA-A924-8DEB044F4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F50DC709-2E49-405F-BF3E-B7155FCEA0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30FDD464-CF01-426E-990F-35D03BE4B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D86ED023-1D93-4562-B861-0550F6DAB5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95F78822-19A2-44A4-B6A0-52E08AC51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5927A3C0-9D14-4340-9173-BC1722C9A1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8B01DDC9-252E-40F1-B892-51D6C6C09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B554109B-9073-45CF-B176-3E919AB3B9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163B0C3A-29EA-44F5-87DD-0EFCF18CB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61F8A835-F700-44F4-8850-B54D6F1950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661839CC-8F4B-4DE4-AA14-A4D92242E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64B3ECF0-1F02-4381-B118-5EED223606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465E2078-BD4A-47A9-B1EF-C52566652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35254178-7D81-4DDB-855F-4837020E21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7DCD161C-F663-4BC3-840E-DC5D996FF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62D54357-D29D-4E41-B7B5-9F75DA6675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4EE8F215-D5F4-466E-BC18-A307C83D4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FE9FB198-57EB-4FD0-8942-FA274EBFF1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4F87EA14-F71B-4580-ADA3-BE73DCA63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589DF4E6-EA9D-4E0E-B9F4-DE0763E279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46B7F457-CA8B-4CDD-8DB3-E6DE25A4A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F0F0AF3E-7687-499A-A05F-B0293A4553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9DDAA9B4-D12B-4AB2-8481-C9BC14092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AB105FE9-8734-4704-BB7D-E8A811BD8C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13637CDE-7E37-4884-BB28-0A174E3F7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2DB9D1E6-CBDF-48E4-A8E2-454C473AFE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965943B2-05C7-4718-9B88-471F9BD48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53627B43-52F5-40C0-B3B0-4B33D24F5B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5922962" y="6264275"/>
          <a:ext cx="1476376" cy="1325563"/>
        </a:xfrm>
        <a:prstGeom prst="flowChartConnector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F8D8-39B5-4253-9BEC-E9565823126F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19</v>
      </c>
      <c r="C7" s="22"/>
      <c r="D7" s="22"/>
      <c r="E7" s="22"/>
      <c r="F7" s="22"/>
      <c r="G7" s="19"/>
    </row>
    <row r="8" spans="1:13" ht="20.25" customHeight="1" x14ac:dyDescent="0.2">
      <c r="B8" s="30" t="s">
        <v>20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22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10.28</v>
      </c>
      <c r="E14" s="15">
        <f>D14*(9/5)+32</f>
        <v>50.503999999999998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13.77</v>
      </c>
      <c r="E15" s="15">
        <f>D15*(9/5)+32</f>
        <v>56.786000000000001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3.49</v>
      </c>
      <c r="E16" s="15">
        <f>E15-E14</f>
        <v>6.2820000000000036</v>
      </c>
      <c r="F16" s="18">
        <v>14.907999999999999</v>
      </c>
      <c r="G16" s="15">
        <f>ROUND(F16*4.403,3)</f>
        <v>65.64</v>
      </c>
      <c r="H16" s="15">
        <f>G16*E16*500</f>
        <v>206175.24000000011</v>
      </c>
      <c r="I16" s="15">
        <f>H16*2.931*POWER(10,-4)</f>
        <v>60.429962844000038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23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9.6199999999999992</v>
      </c>
      <c r="E20" s="15">
        <f>D20*(9/5)+32</f>
        <v>49.316000000000003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12.51</v>
      </c>
      <c r="E21" s="15">
        <f>D21*(9/5)+32</f>
        <v>54.518000000000001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2.8900000000000006</v>
      </c>
      <c r="E22" s="15">
        <f>E21-E20</f>
        <v>5.2019999999999982</v>
      </c>
      <c r="F22" s="15">
        <v>14.06</v>
      </c>
      <c r="G22" s="15">
        <f>ROUND(F22*4.403,3)</f>
        <v>61.905999999999999</v>
      </c>
      <c r="H22" s="15">
        <f>G22*E22*500</f>
        <v>161017.50599999994</v>
      </c>
      <c r="I22" s="15">
        <f>H22*2.931*POWER(10,-4)</f>
        <v>47.194231008599985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C2:D2"/>
    <mergeCell ref="B5:I5"/>
    <mergeCell ref="B7:F7"/>
    <mergeCell ref="B8:F8"/>
    <mergeCell ref="H8:L8"/>
    <mergeCell ref="I9:K9"/>
    <mergeCell ref="B12:J12"/>
    <mergeCell ref="D17:J17"/>
    <mergeCell ref="B18:J18"/>
    <mergeCell ref="C34:D34"/>
    <mergeCell ref="B9:F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4B564-8BE7-444E-9523-3F463BBB1C57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24</v>
      </c>
      <c r="C7" s="22"/>
      <c r="D7" s="22"/>
      <c r="E7" s="22"/>
      <c r="F7" s="22"/>
      <c r="G7" s="19"/>
    </row>
    <row r="8" spans="1:13" ht="20.25" customHeight="1" x14ac:dyDescent="0.2">
      <c r="B8" s="30" t="s">
        <v>25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26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8.99</v>
      </c>
      <c r="E14" s="15">
        <f>D14*(9/5)+32</f>
        <v>48.182000000000002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14</v>
      </c>
      <c r="E15" s="15">
        <f>D15*(9/5)+32</f>
        <v>57.2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5.01</v>
      </c>
      <c r="E16" s="15">
        <f>E15-E14</f>
        <v>9.0180000000000007</v>
      </c>
      <c r="F16" s="18">
        <v>17.61</v>
      </c>
      <c r="G16" s="15">
        <f>ROUND(F16*4.403,3)</f>
        <v>77.537000000000006</v>
      </c>
      <c r="H16" s="15">
        <f>G16*E16*500</f>
        <v>349614.33300000004</v>
      </c>
      <c r="I16" s="15">
        <f>H16*2.931*POWER(10,-4)</f>
        <v>102.47196100230002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27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9.32</v>
      </c>
      <c r="E20" s="15">
        <f>D20*(9/5)+32</f>
        <v>48.775999999999996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13.51</v>
      </c>
      <c r="E21" s="15">
        <f>D21*(9/5)+32</f>
        <v>56.317999999999998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4.1899999999999995</v>
      </c>
      <c r="E22" s="15">
        <f>E21-E20</f>
        <v>7.5420000000000016</v>
      </c>
      <c r="F22" s="15">
        <v>17.62</v>
      </c>
      <c r="G22" s="15">
        <f>ROUND(F22*4.403,3)</f>
        <v>77.581000000000003</v>
      </c>
      <c r="H22" s="15">
        <f>G22*E22*500</f>
        <v>292557.95100000006</v>
      </c>
      <c r="I22" s="15">
        <f>H22*2.931*POWER(10,-4)</f>
        <v>85.748735438100013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3F2C8-BCD9-476E-96A7-AAEDC90509F3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28</v>
      </c>
      <c r="C7" s="22"/>
      <c r="D7" s="22"/>
      <c r="E7" s="22"/>
      <c r="F7" s="22"/>
      <c r="G7" s="19"/>
    </row>
    <row r="8" spans="1:13" ht="20.25" customHeight="1" x14ac:dyDescent="0.2">
      <c r="B8" s="30" t="s">
        <v>29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15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30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10.46</v>
      </c>
      <c r="E14" s="15">
        <f>D14*(9/5)+32</f>
        <v>50.828000000000003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15.37</v>
      </c>
      <c r="E15" s="15">
        <f>D15*(9/5)+32</f>
        <v>59.665999999999997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4.9099999999999984</v>
      </c>
      <c r="E16" s="15">
        <f>E15-E14</f>
        <v>8.8379999999999939</v>
      </c>
      <c r="F16" s="18">
        <v>15.06</v>
      </c>
      <c r="G16" s="15">
        <f>ROUND(F16*4.403,3)</f>
        <v>66.308999999999997</v>
      </c>
      <c r="H16" s="15">
        <f>G16*E16*500</f>
        <v>293019.47099999979</v>
      </c>
      <c r="I16" s="15">
        <f>H16*2.931*POWER(10,-4)</f>
        <v>85.884006950099945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31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9.36</v>
      </c>
      <c r="E20" s="15">
        <f>D20*(9/5)+32</f>
        <v>48.847999999999999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14.47</v>
      </c>
      <c r="E21" s="15">
        <f>D21*(9/5)+32</f>
        <v>58.046000000000006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5.1100000000000012</v>
      </c>
      <c r="E22" s="15">
        <f>E21-E20</f>
        <v>9.1980000000000075</v>
      </c>
      <c r="F22" s="15">
        <v>15.08</v>
      </c>
      <c r="G22" s="15">
        <f>ROUND(F22*4.403,3)</f>
        <v>66.397000000000006</v>
      </c>
      <c r="H22" s="15">
        <f>G22*E22*500</f>
        <v>305359.80300000031</v>
      </c>
      <c r="I22" s="15">
        <f>H22*2.931*POWER(10,-4)</f>
        <v>89.500958259300106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67E1-3B9F-4656-BB7C-AFA813EC4AB2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32</v>
      </c>
      <c r="C7" s="22"/>
      <c r="D7" s="22"/>
      <c r="E7" s="22"/>
      <c r="F7" s="22"/>
      <c r="G7" s="19"/>
    </row>
    <row r="8" spans="1:13" ht="20.25" customHeight="1" x14ac:dyDescent="0.2">
      <c r="B8" s="30" t="s">
        <v>33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15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34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10.52</v>
      </c>
      <c r="E14" s="15">
        <f>D14*(9/5)+32</f>
        <v>50.936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13.79</v>
      </c>
      <c r="E15" s="15">
        <f>D15*(9/5)+32</f>
        <v>56.822000000000003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3.2699999999999996</v>
      </c>
      <c r="E16" s="15">
        <f>E15-E14</f>
        <v>5.8860000000000028</v>
      </c>
      <c r="F16" s="18">
        <v>20.402000000000001</v>
      </c>
      <c r="G16" s="15">
        <f>ROUND(F16*4.403,3)</f>
        <v>89.83</v>
      </c>
      <c r="H16" s="15">
        <f>G16*E16*500</f>
        <v>264369.69000000012</v>
      </c>
      <c r="I16" s="15">
        <f>H16*2.931*POWER(10,-4)</f>
        <v>77.48675613900005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35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12.2</v>
      </c>
      <c r="E20" s="15">
        <f>D20*(9/5)+32</f>
        <v>53.96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13.25</v>
      </c>
      <c r="E21" s="15">
        <f>D21*(9/5)+32</f>
        <v>55.85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1.0500000000000007</v>
      </c>
      <c r="E22" s="15">
        <f>E21-E20</f>
        <v>1.8900000000000006</v>
      </c>
      <c r="F22" s="15">
        <v>19.2</v>
      </c>
      <c r="G22" s="15">
        <f>ROUND(F22*4.403,3)</f>
        <v>84.537999999999997</v>
      </c>
      <c r="H22" s="15">
        <f>G22*E22*500</f>
        <v>79888.410000000018</v>
      </c>
      <c r="I22" s="15">
        <f>H22*2.931*POWER(10,-4)</f>
        <v>23.415292971000007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A443B-20F7-46C6-82F9-08C972636DA0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36</v>
      </c>
      <c r="C7" s="22"/>
      <c r="D7" s="22"/>
      <c r="E7" s="22"/>
      <c r="F7" s="22"/>
      <c r="G7" s="19"/>
    </row>
    <row r="8" spans="1:13" ht="20.25" customHeight="1" x14ac:dyDescent="0.2">
      <c r="B8" s="30" t="s">
        <v>37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38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10.44</v>
      </c>
      <c r="E14" s="15">
        <f>D14*(9/5)+32</f>
        <v>50.792000000000002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18.02</v>
      </c>
      <c r="E15" s="15">
        <f>D15*(9/5)+32</f>
        <v>64.436000000000007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7.58</v>
      </c>
      <c r="E16" s="15">
        <f>E15-E14</f>
        <v>13.644000000000005</v>
      </c>
      <c r="F16" s="18">
        <v>15.21</v>
      </c>
      <c r="G16" s="15">
        <f>ROUND(F16*4.403,3)</f>
        <v>66.97</v>
      </c>
      <c r="H16" s="15">
        <f>G16*E16*500</f>
        <v>456869.3400000002</v>
      </c>
      <c r="I16" s="15">
        <f>H16*2.931*POWER(10,-4)</f>
        <v>133.90840355400007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39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10.02</v>
      </c>
      <c r="E20" s="15">
        <f>D20*(9/5)+32</f>
        <v>50.036000000000001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16.12</v>
      </c>
      <c r="E21" s="15">
        <f>D21*(9/5)+32</f>
        <v>61.016000000000005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6.1000000000000014</v>
      </c>
      <c r="E22" s="15">
        <f>E21-E20</f>
        <v>10.980000000000004</v>
      </c>
      <c r="F22" s="15">
        <v>15.99</v>
      </c>
      <c r="G22" s="15">
        <f>ROUND(F22*4.403,3)</f>
        <v>70.403999999999996</v>
      </c>
      <c r="H22" s="15">
        <f>G22*E22*500</f>
        <v>386517.96000000014</v>
      </c>
      <c r="I22" s="15">
        <f>H22*2.931*POWER(10,-4)</f>
        <v>113.28841407600004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8FF1-5A9E-407C-887F-809ABFC08DC1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40</v>
      </c>
      <c r="C7" s="22"/>
      <c r="D7" s="22"/>
      <c r="E7" s="22"/>
      <c r="F7" s="22"/>
      <c r="G7" s="19"/>
    </row>
    <row r="8" spans="1:13" ht="20.25" customHeight="1" x14ac:dyDescent="0.2">
      <c r="B8" s="30" t="s">
        <v>41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42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9.85</v>
      </c>
      <c r="E14" s="15">
        <f>D14*(9/5)+32</f>
        <v>49.730000000000004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13.94</v>
      </c>
      <c r="E15" s="15">
        <f>D15*(9/5)+32</f>
        <v>57.091999999999999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4.09</v>
      </c>
      <c r="E16" s="15">
        <f>E15-E14</f>
        <v>7.3619999999999948</v>
      </c>
      <c r="F16" s="18">
        <v>15.37</v>
      </c>
      <c r="G16" s="15">
        <f>ROUND(F16*4.403,3)</f>
        <v>67.674000000000007</v>
      </c>
      <c r="H16" s="15">
        <f>G16*E16*500</f>
        <v>249107.99399999986</v>
      </c>
      <c r="I16" s="15">
        <f>H16*2.931*POWER(10,-4)</f>
        <v>73.013553041399959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42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10.23</v>
      </c>
      <c r="E20" s="15">
        <f>D20*(9/5)+32</f>
        <v>50.414000000000001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13.56</v>
      </c>
      <c r="E21" s="15">
        <f>D21*(9/5)+32</f>
        <v>56.408000000000001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3.33</v>
      </c>
      <c r="E22" s="15">
        <f>E21-E20</f>
        <v>5.9939999999999998</v>
      </c>
      <c r="F22" s="15">
        <v>15.38</v>
      </c>
      <c r="G22" s="15">
        <f>ROUND(F22*4.403,3)</f>
        <v>67.718000000000004</v>
      </c>
      <c r="H22" s="15">
        <f>G22*E22*500</f>
        <v>202950.84600000002</v>
      </c>
      <c r="I22" s="15">
        <f>H22*2.931*POWER(10,-4)</f>
        <v>59.484892962600014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C3B2C-2CFA-4CF1-9D55-88D66463745F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43</v>
      </c>
      <c r="C7" s="22"/>
      <c r="D7" s="22"/>
      <c r="E7" s="22"/>
      <c r="F7" s="22"/>
      <c r="G7" s="19"/>
    </row>
    <row r="8" spans="1:13" ht="20.25" customHeight="1" x14ac:dyDescent="0.2">
      <c r="B8" s="30" t="s">
        <v>44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15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45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9.68</v>
      </c>
      <c r="E14" s="15">
        <f>D14*(9/5)+32</f>
        <v>49.423999999999999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23.17</v>
      </c>
      <c r="E15" s="15">
        <f>D15*(9/5)+32</f>
        <v>73.706000000000003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13.490000000000002</v>
      </c>
      <c r="E16" s="15">
        <f>E15-E14</f>
        <v>24.282000000000004</v>
      </c>
      <c r="F16" s="18">
        <v>7.2370000000000001</v>
      </c>
      <c r="G16" s="15">
        <f>ROUND(F16*4.403,3)</f>
        <v>31.864999999999998</v>
      </c>
      <c r="H16" s="15">
        <f>G16*E16*500</f>
        <v>386872.96500000003</v>
      </c>
      <c r="I16" s="15">
        <f>H16*2.931*POWER(10,-4)</f>
        <v>113.39246604150001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46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11.31</v>
      </c>
      <c r="E20" s="15">
        <f>D20*(9/5)+32</f>
        <v>52.358000000000004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16.21</v>
      </c>
      <c r="E21" s="15">
        <f>D21*(9/5)+32</f>
        <v>61.177999999999997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4.9000000000000004</v>
      </c>
      <c r="E22" s="15">
        <f>E21-E20</f>
        <v>8.8199999999999932</v>
      </c>
      <c r="F22" s="15">
        <v>8.2100000000000009</v>
      </c>
      <c r="G22" s="15">
        <f>ROUND(F22*4.403,3)</f>
        <v>36.149000000000001</v>
      </c>
      <c r="H22" s="15">
        <f>G22*E22*500</f>
        <v>159417.08999999988</v>
      </c>
      <c r="I22" s="15">
        <f>H22*2.931*POWER(10,-4)</f>
        <v>46.725149078999969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98E9D-C0D9-4568-AE1A-5A4FD30AA15F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47</v>
      </c>
      <c r="C7" s="22"/>
      <c r="D7" s="22"/>
      <c r="E7" s="22"/>
      <c r="F7" s="22"/>
      <c r="G7" s="19"/>
    </row>
    <row r="8" spans="1:13" ht="20.25" customHeight="1" x14ac:dyDescent="0.2">
      <c r="B8" s="30" t="s">
        <v>48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15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49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9.99</v>
      </c>
      <c r="E14" s="15">
        <f>D14*(9/5)+32</f>
        <v>49.981999999999999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12.16</v>
      </c>
      <c r="E15" s="15">
        <f>D15*(9/5)+32</f>
        <v>53.888000000000005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2.17</v>
      </c>
      <c r="E16" s="15">
        <f>E15-E14</f>
        <v>3.9060000000000059</v>
      </c>
      <c r="F16" s="18">
        <v>19.63</v>
      </c>
      <c r="G16" s="15">
        <f>ROUND(F16*4.403,3)</f>
        <v>86.430999999999997</v>
      </c>
      <c r="H16" s="15">
        <f>G16*E16*500</f>
        <v>168799.74300000025</v>
      </c>
      <c r="I16" s="15">
        <f>H16*2.931*POWER(10,-4)</f>
        <v>49.475204673300077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50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9.6300000000000008</v>
      </c>
      <c r="E20" s="15">
        <f>D20*(9/5)+32</f>
        <v>49.334000000000003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12.1</v>
      </c>
      <c r="E21" s="15">
        <f>D21*(9/5)+32</f>
        <v>53.78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2.4699999999999989</v>
      </c>
      <c r="E22" s="15">
        <f>E21-E20</f>
        <v>4.445999999999998</v>
      </c>
      <c r="F22" s="15">
        <v>18.02</v>
      </c>
      <c r="G22" s="15">
        <f>ROUND(F22*4.403,3)</f>
        <v>79.341999999999999</v>
      </c>
      <c r="H22" s="15">
        <f>G22*E22*500</f>
        <v>176377.26599999992</v>
      </c>
      <c r="I22" s="15">
        <f>H22*2.931*POWER(10,-4)</f>
        <v>51.696176664599975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78A5-917F-4121-8D50-67280F7F2DFE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51</v>
      </c>
      <c r="C7" s="22"/>
      <c r="D7" s="22"/>
      <c r="E7" s="22"/>
      <c r="F7" s="22"/>
      <c r="G7" s="19"/>
    </row>
    <row r="8" spans="1:13" ht="20.25" customHeight="1" x14ac:dyDescent="0.2">
      <c r="B8" s="30" t="s">
        <v>52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15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53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23.83</v>
      </c>
      <c r="E14" s="15">
        <f>D14*(9/5)+32</f>
        <v>74.894000000000005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24.08</v>
      </c>
      <c r="E15" s="15">
        <f>D15*(9/5)+32</f>
        <v>75.343999999999994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0.25</v>
      </c>
      <c r="E16" s="15">
        <f>E15-E14</f>
        <v>0.44999999999998863</v>
      </c>
      <c r="F16" s="18">
        <v>15.23</v>
      </c>
      <c r="G16" s="15">
        <f>ROUND(F16*4.403,3)</f>
        <v>67.058000000000007</v>
      </c>
      <c r="H16" s="15">
        <f>G16*E16*500</f>
        <v>15088.049999999621</v>
      </c>
      <c r="I16" s="15">
        <f>H16*2.931*POWER(10,-4)</f>
        <v>4.4223074549998893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53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22.92</v>
      </c>
      <c r="E20" s="15">
        <f>D20*(9/5)+32</f>
        <v>73.256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23.02</v>
      </c>
      <c r="E21" s="15">
        <f>D21*(9/5)+32</f>
        <v>73.436000000000007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9.9999999999997868E-2</v>
      </c>
      <c r="E22" s="15">
        <f>E21-E20</f>
        <v>0.18000000000000682</v>
      </c>
      <c r="F22" s="15">
        <v>14.06</v>
      </c>
      <c r="G22" s="15">
        <f>ROUND(F22*4.403,3)</f>
        <v>61.905999999999999</v>
      </c>
      <c r="H22" s="15">
        <f>G22*E22*500</f>
        <v>5571.540000000211</v>
      </c>
      <c r="I22" s="15">
        <f>H22*2.931*POWER(10,-4)</f>
        <v>1.6330183740000619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5BE74-D62F-43A2-AD2A-B82711E3D111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54</v>
      </c>
      <c r="C7" s="22"/>
      <c r="D7" s="22"/>
      <c r="E7" s="22"/>
      <c r="F7" s="22"/>
      <c r="G7" s="19"/>
    </row>
    <row r="8" spans="1:13" ht="20.25" customHeight="1" x14ac:dyDescent="0.2">
      <c r="B8" s="30" t="s">
        <v>55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15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56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22.92</v>
      </c>
      <c r="E14" s="15">
        <f>D14*(9/5)+32</f>
        <v>73.256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23.02</v>
      </c>
      <c r="E15" s="15">
        <f>D15*(9/5)+32</f>
        <v>73.436000000000007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9.9999999999997868E-2</v>
      </c>
      <c r="E16" s="15">
        <f>E15-E14</f>
        <v>0.18000000000000682</v>
      </c>
      <c r="F16" s="18">
        <v>16.63</v>
      </c>
      <c r="G16" s="15">
        <f>ROUND(F16*4.403,3)</f>
        <v>73.221999999999994</v>
      </c>
      <c r="H16" s="15">
        <f>G16*E16*500</f>
        <v>6589.9800000002497</v>
      </c>
      <c r="I16" s="15">
        <f>H16*2.931*POWER(10,-4)</f>
        <v>1.9315231380000732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57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22.01</v>
      </c>
      <c r="E20" s="15">
        <f>D20*(9/5)+32</f>
        <v>71.617999999999995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23.13</v>
      </c>
      <c r="E21" s="15">
        <f>D21*(9/5)+32</f>
        <v>73.634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1.1199999999999974</v>
      </c>
      <c r="E22" s="15">
        <f>E21-E20</f>
        <v>2.0160000000000053</v>
      </c>
      <c r="F22" s="15">
        <v>14.06</v>
      </c>
      <c r="G22" s="15">
        <f>ROUND(F22*4.403,3)</f>
        <v>61.905999999999999</v>
      </c>
      <c r="H22" s="15">
        <f>G22*E22*500</f>
        <v>62401.248000000167</v>
      </c>
      <c r="I22" s="15">
        <f>H22*2.931*POWER(10,-4)</f>
        <v>18.289805788800052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3DFA-AECD-4E62-91B6-430FF961C3F1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58</v>
      </c>
      <c r="C7" s="22"/>
      <c r="D7" s="22"/>
      <c r="E7" s="22"/>
      <c r="F7" s="22"/>
      <c r="G7" s="19"/>
    </row>
    <row r="8" spans="1:13" ht="20.25" customHeight="1" x14ac:dyDescent="0.2">
      <c r="B8" s="30" t="s">
        <v>59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60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8.44</v>
      </c>
      <c r="E14" s="15">
        <f>D14*(9/5)+32</f>
        <v>47.192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19.48</v>
      </c>
      <c r="E15" s="15">
        <f>D15*(9/5)+32</f>
        <v>67.063999999999993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11.040000000000001</v>
      </c>
      <c r="E16" s="15">
        <f>E15-E14</f>
        <v>19.871999999999993</v>
      </c>
      <c r="F16" s="18">
        <v>14.188000000000001</v>
      </c>
      <c r="G16" s="15">
        <f>ROUND(F16*4.403,3)</f>
        <v>62.47</v>
      </c>
      <c r="H16" s="15">
        <f>G16*E16*500</f>
        <v>620701.91999999969</v>
      </c>
      <c r="I16" s="15">
        <f>H16*2.931*POWER(10,-4)</f>
        <v>181.92773275199991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61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9.9600000000000009</v>
      </c>
      <c r="E20" s="15">
        <f>D20*(9/5)+32</f>
        <v>49.927999999999997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17.02</v>
      </c>
      <c r="E21" s="15">
        <f>D21*(9/5)+32</f>
        <v>62.635999999999996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7.0599999999999987</v>
      </c>
      <c r="E22" s="15">
        <f>E21-E20</f>
        <v>12.707999999999998</v>
      </c>
      <c r="F22" s="15">
        <v>14.122999999999999</v>
      </c>
      <c r="G22" s="15">
        <f>ROUND(F22*4.403,3)</f>
        <v>62.183999999999997</v>
      </c>
      <c r="H22" s="15">
        <f>G22*E22*500</f>
        <v>395117.13599999994</v>
      </c>
      <c r="I22" s="15">
        <f>H22*2.931*POWER(10,-4)</f>
        <v>115.80883256159998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999E-8DD1-4803-B820-5142D724AA1B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62</v>
      </c>
      <c r="C7" s="22"/>
      <c r="D7" s="22"/>
      <c r="E7" s="22"/>
      <c r="F7" s="22"/>
      <c r="G7" s="19"/>
    </row>
    <row r="8" spans="1:13" ht="20.25" customHeight="1" x14ac:dyDescent="0.2">
      <c r="B8" s="30" t="s">
        <v>63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64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8.73</v>
      </c>
      <c r="E14" s="15">
        <f>D14*(9/5)+32</f>
        <v>47.713999999999999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15.95</v>
      </c>
      <c r="E15" s="15">
        <f>D15*(9/5)+32</f>
        <v>60.71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7.2199999999999989</v>
      </c>
      <c r="E16" s="15">
        <f>E15-E14</f>
        <v>12.996000000000002</v>
      </c>
      <c r="F16" s="18">
        <v>4.7309999999999999</v>
      </c>
      <c r="G16" s="15">
        <f>ROUND(F16*4.403,3)</f>
        <v>20.831</v>
      </c>
      <c r="H16" s="15">
        <f>G16*E16*500</f>
        <v>135359.83800000002</v>
      </c>
      <c r="I16" s="15">
        <f>H16*2.931*POWER(10,-4)</f>
        <v>39.673968517800006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65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9.36</v>
      </c>
      <c r="E20" s="15">
        <f>D20*(9/5)+32</f>
        <v>48.847999999999999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15.62</v>
      </c>
      <c r="E21" s="15">
        <f>D21*(9/5)+32</f>
        <v>60.116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6.26</v>
      </c>
      <c r="E22" s="15">
        <f>E21-E20</f>
        <v>11.268000000000001</v>
      </c>
      <c r="F22" s="15">
        <v>5.0199999999999996</v>
      </c>
      <c r="G22" s="15">
        <f>ROUND(F22*4.403,3)</f>
        <v>22.103000000000002</v>
      </c>
      <c r="H22" s="15">
        <f>G22*E22*500</f>
        <v>124528.30200000001</v>
      </c>
      <c r="I22" s="15">
        <f>H22*2.931*POWER(10,-4)</f>
        <v>36.499245316200003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E8B91-F415-4B8B-9180-B3C922327FDA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66</v>
      </c>
      <c r="C7" s="22"/>
      <c r="D7" s="22"/>
      <c r="E7" s="22"/>
      <c r="F7" s="22"/>
      <c r="G7" s="19"/>
    </row>
    <row r="8" spans="1:13" ht="20.25" customHeight="1" x14ac:dyDescent="0.2">
      <c r="B8" s="30" t="s">
        <v>67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15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68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8.66</v>
      </c>
      <c r="E14" s="15">
        <f>D14*(9/5)+32</f>
        <v>47.588000000000001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23.61</v>
      </c>
      <c r="E15" s="15">
        <f>D15*(9/5)+32</f>
        <v>74.49799999999999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14.95</v>
      </c>
      <c r="E16" s="15">
        <f>E15-E14</f>
        <v>26.909999999999989</v>
      </c>
      <c r="F16" s="18">
        <v>18.47</v>
      </c>
      <c r="G16" s="15">
        <f>ROUND(F16*4.403,3)</f>
        <v>81.322999999999993</v>
      </c>
      <c r="H16" s="15">
        <f>G16*E16*500</f>
        <v>1094200.9649999996</v>
      </c>
      <c r="I16" s="15">
        <f>H16*2.931*POWER(10,-4)</f>
        <v>320.71030284149992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69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14.03</v>
      </c>
      <c r="E20" s="15">
        <f>D20*(9/5)+32</f>
        <v>57.253999999999998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19.059999999999999</v>
      </c>
      <c r="E21" s="15">
        <f>D21*(9/5)+32</f>
        <v>66.307999999999993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5.0299999999999994</v>
      </c>
      <c r="E22" s="15">
        <f>E21-E20</f>
        <v>9.0539999999999949</v>
      </c>
      <c r="F22" s="15">
        <v>18.32</v>
      </c>
      <c r="G22" s="15">
        <f>ROUND(F22*4.403,3)</f>
        <v>80.662999999999997</v>
      </c>
      <c r="H22" s="15">
        <f>G22*E22*500</f>
        <v>365161.40099999978</v>
      </c>
      <c r="I22" s="15">
        <f>H22*2.931*POWER(10,-4)</f>
        <v>107.02880663309995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6F4E-08C3-4F60-9934-B273804216D8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70</v>
      </c>
      <c r="C7" s="22"/>
      <c r="D7" s="22"/>
      <c r="E7" s="22"/>
      <c r="F7" s="22"/>
      <c r="G7" s="19"/>
    </row>
    <row r="8" spans="1:13" ht="20.25" customHeight="1" x14ac:dyDescent="0.2">
      <c r="B8" s="30" t="s">
        <v>71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15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72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8.9600000000000009</v>
      </c>
      <c r="E14" s="15">
        <f>D14*(9/5)+32</f>
        <v>48.128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11.51</v>
      </c>
      <c r="E15" s="15">
        <f>D15*(9/5)+32</f>
        <v>52.718000000000004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2.5499999999999989</v>
      </c>
      <c r="E16" s="15">
        <f>E15-E14</f>
        <v>4.5900000000000034</v>
      </c>
      <c r="F16" s="18">
        <v>20.48</v>
      </c>
      <c r="G16" s="15">
        <f>ROUND(F16*4.403,3)</f>
        <v>90.173000000000002</v>
      </c>
      <c r="H16" s="15">
        <f>G16*E16*500</f>
        <v>206947.03500000018</v>
      </c>
      <c r="I16" s="15">
        <f>H16*2.931*POWER(10,-4)</f>
        <v>60.656175958500057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73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9.01</v>
      </c>
      <c r="E20" s="15">
        <f>D20*(9/5)+32</f>
        <v>48.218000000000004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12.63</v>
      </c>
      <c r="E21" s="15">
        <f>D21*(9/5)+32</f>
        <v>54.734000000000002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3.620000000000001</v>
      </c>
      <c r="E22" s="15">
        <f>E21-E20</f>
        <v>6.5159999999999982</v>
      </c>
      <c r="F22" s="15">
        <v>19.86</v>
      </c>
      <c r="G22" s="15">
        <f>ROUND(F22*4.403,3)</f>
        <v>87.444000000000003</v>
      </c>
      <c r="H22" s="15">
        <f>G22*E22*500</f>
        <v>284892.55199999991</v>
      </c>
      <c r="I22" s="15">
        <f>H22*2.931*POWER(10,-4)</f>
        <v>83.502006991199977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45BFF-FC36-4C5D-A4EB-483AD0A6FF88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74</v>
      </c>
      <c r="C7" s="22"/>
      <c r="D7" s="22"/>
      <c r="E7" s="22"/>
      <c r="F7" s="22"/>
      <c r="G7" s="19"/>
    </row>
    <row r="8" spans="1:13" ht="20.25" customHeight="1" x14ac:dyDescent="0.2">
      <c r="B8" s="30" t="s">
        <v>75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76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14.4</v>
      </c>
      <c r="E14" s="15">
        <f>D14*(9/5)+32</f>
        <v>57.92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18.77</v>
      </c>
      <c r="E15" s="15">
        <f>D15*(9/5)+32</f>
        <v>65.786000000000001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4.3699999999999992</v>
      </c>
      <c r="E16" s="15">
        <f>E15-E14</f>
        <v>7.8659999999999997</v>
      </c>
      <c r="F16" s="18">
        <v>14.43</v>
      </c>
      <c r="G16" s="15">
        <f>ROUND(F16*4.403,3)</f>
        <v>63.534999999999997</v>
      </c>
      <c r="H16" s="15">
        <f>G16*E16*500</f>
        <v>249883.155</v>
      </c>
      <c r="I16" s="15">
        <f>H16*2.931*POWER(10,-4)</f>
        <v>73.240752730500006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77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13.12</v>
      </c>
      <c r="E20" s="15">
        <f>D20*(9/5)+32</f>
        <v>55.616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17.05</v>
      </c>
      <c r="E21" s="15">
        <f>D21*(9/5)+32</f>
        <v>62.69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3.9300000000000015</v>
      </c>
      <c r="E22" s="15">
        <f>E21-E20</f>
        <v>7.0739999999999981</v>
      </c>
      <c r="F22" s="15">
        <v>14.52</v>
      </c>
      <c r="G22" s="15">
        <f>ROUND(F22*4.403,3)</f>
        <v>63.932000000000002</v>
      </c>
      <c r="H22" s="15">
        <f>G22*E22*500</f>
        <v>226127.48399999994</v>
      </c>
      <c r="I22" s="15">
        <f>H22*2.931*POWER(10,-4)</f>
        <v>66.277965560399991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6A7AA-FEF0-42DE-AB2F-5A8ED228898C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78</v>
      </c>
      <c r="C7" s="22"/>
      <c r="D7" s="22"/>
      <c r="E7" s="22"/>
      <c r="F7" s="22"/>
      <c r="G7" s="19"/>
    </row>
    <row r="8" spans="1:13" ht="20.25" customHeight="1" x14ac:dyDescent="0.2">
      <c r="B8" s="30" t="s">
        <v>79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80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14.16</v>
      </c>
      <c r="E14" s="15">
        <f>D14*(9/5)+32</f>
        <v>57.488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23.07</v>
      </c>
      <c r="E15" s="15">
        <f>D15*(9/5)+32</f>
        <v>73.52600000000001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8.91</v>
      </c>
      <c r="E16" s="15">
        <f>E15-E14</f>
        <v>16.038000000000011</v>
      </c>
      <c r="F16" s="18">
        <v>7.25</v>
      </c>
      <c r="G16" s="15">
        <f>ROUND(F16*4.403,3)</f>
        <v>31.922000000000001</v>
      </c>
      <c r="H16" s="15">
        <f>G16*E16*500</f>
        <v>255982.51800000016</v>
      </c>
      <c r="I16" s="15">
        <f>H16*2.931*POWER(10,-4)</f>
        <v>75.028476025800046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81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10.210000000000001</v>
      </c>
      <c r="E20" s="15">
        <f>D20*(9/5)+32</f>
        <v>50.378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17.23</v>
      </c>
      <c r="E21" s="15">
        <f>D21*(9/5)+32</f>
        <v>63.014000000000003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7.02</v>
      </c>
      <c r="E22" s="15">
        <f>E21-E20</f>
        <v>12.636000000000003</v>
      </c>
      <c r="F22" s="15">
        <v>7.24</v>
      </c>
      <c r="G22" s="15">
        <f>ROUND(F22*4.403,3)</f>
        <v>31.878</v>
      </c>
      <c r="H22" s="15">
        <f>G22*E22*500</f>
        <v>201405.20400000006</v>
      </c>
      <c r="I22" s="15">
        <f>H22*2.931*POWER(10,-4)</f>
        <v>59.03186529240002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3C2B-ABAC-4D11-901A-5E6CA726F450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82</v>
      </c>
      <c r="C7" s="22"/>
      <c r="D7" s="22"/>
      <c r="E7" s="22"/>
      <c r="F7" s="22"/>
      <c r="G7" s="19"/>
    </row>
    <row r="8" spans="1:13" ht="20.25" customHeight="1" x14ac:dyDescent="0.2">
      <c r="B8" s="30" t="s">
        <v>83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15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84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12.93</v>
      </c>
      <c r="E14" s="15">
        <f>D14*(9/5)+32</f>
        <v>55.274000000000001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16.579999999999998</v>
      </c>
      <c r="E15" s="15">
        <f>D15*(9/5)+32</f>
        <v>61.843999999999994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3.6499999999999986</v>
      </c>
      <c r="E16" s="15">
        <f>E15-E14</f>
        <v>6.5699999999999932</v>
      </c>
      <c r="F16" s="18">
        <v>12.46</v>
      </c>
      <c r="G16" s="15">
        <f>ROUND(F16*4.403,3)</f>
        <v>54.860999999999997</v>
      </c>
      <c r="H16" s="15">
        <f>G16*E16*500</f>
        <v>180218.38499999981</v>
      </c>
      <c r="I16" s="15">
        <f>H16*2.931*POWER(10,-4)</f>
        <v>52.822008643499949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84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10.06</v>
      </c>
      <c r="E20" s="15">
        <f>D20*(9/5)+32</f>
        <v>50.108000000000004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15.08</v>
      </c>
      <c r="E21" s="15">
        <f>D21*(9/5)+32</f>
        <v>59.144000000000005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5.0199999999999996</v>
      </c>
      <c r="E22" s="15">
        <f>E21-E20</f>
        <v>9.0360000000000014</v>
      </c>
      <c r="F22" s="15">
        <v>12.44</v>
      </c>
      <c r="G22" s="15">
        <f>ROUND(F22*4.403,3)</f>
        <v>54.773000000000003</v>
      </c>
      <c r="H22" s="15">
        <f>G22*E22*500</f>
        <v>247464.41400000005</v>
      </c>
      <c r="I22" s="15">
        <f>H22*2.931*POWER(10,-4)</f>
        <v>72.531819743400021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89A8-5197-4752-AFCE-8AEDB57F815B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85</v>
      </c>
      <c r="C7" s="22"/>
      <c r="D7" s="22"/>
      <c r="E7" s="22"/>
      <c r="F7" s="22"/>
      <c r="G7" s="19"/>
    </row>
    <row r="8" spans="1:13" ht="20.25" customHeight="1" x14ac:dyDescent="0.2">
      <c r="B8" s="30" t="s">
        <v>86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15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87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12.64</v>
      </c>
      <c r="E14" s="15">
        <f>D14*(9/5)+32</f>
        <v>54.752000000000002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16.23</v>
      </c>
      <c r="E15" s="15">
        <f>D15*(9/5)+32</f>
        <v>61.213999999999999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3.59</v>
      </c>
      <c r="E16" s="15">
        <f>E15-E14</f>
        <v>6.4619999999999962</v>
      </c>
      <c r="F16" s="18">
        <v>15.9</v>
      </c>
      <c r="G16" s="15">
        <f>ROUND(F16*4.403,3)</f>
        <v>70.007999999999996</v>
      </c>
      <c r="H16" s="15">
        <f>G16*E16*500</f>
        <v>226195.84799999985</v>
      </c>
      <c r="I16" s="15">
        <f>H16*2.931*POWER(10,-4)</f>
        <v>66.298003048799956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88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11.23</v>
      </c>
      <c r="E20" s="15">
        <f>D20*(9/5)+32</f>
        <v>52.213999999999999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17.8</v>
      </c>
      <c r="E21" s="15">
        <f>D21*(9/5)+32</f>
        <v>64.039999999999992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6.57</v>
      </c>
      <c r="E22" s="15">
        <f>E21-E20</f>
        <v>11.825999999999993</v>
      </c>
      <c r="F22" s="15">
        <v>15.12</v>
      </c>
      <c r="G22" s="15">
        <f>ROUND(F22*4.403,3)</f>
        <v>66.572999999999993</v>
      </c>
      <c r="H22" s="15">
        <f>G22*E22*500</f>
        <v>393646.14899999974</v>
      </c>
      <c r="I22" s="15">
        <f>H22*2.931*POWER(10,-4)</f>
        <v>115.37768627189992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83EA-FFF6-4FB6-ACA4-0EBC03FB0CBB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89</v>
      </c>
      <c r="C7" s="22"/>
      <c r="D7" s="22"/>
      <c r="E7" s="22"/>
      <c r="F7" s="22"/>
      <c r="G7" s="19"/>
    </row>
    <row r="8" spans="1:13" ht="20.25" customHeight="1" x14ac:dyDescent="0.2">
      <c r="B8" s="30" t="s">
        <v>90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91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19.72</v>
      </c>
      <c r="E14" s="15">
        <f>D14*(9/5)+32</f>
        <v>67.496000000000009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20.64</v>
      </c>
      <c r="E15" s="15">
        <f>D15*(9/5)+32</f>
        <v>69.152000000000001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0.92000000000000171</v>
      </c>
      <c r="E16" s="15">
        <f>E15-E14</f>
        <v>1.6559999999999917</v>
      </c>
      <c r="F16" s="18">
        <v>9.14</v>
      </c>
      <c r="G16" s="15">
        <f>ROUND(F16*4.403,3)</f>
        <v>40.243000000000002</v>
      </c>
      <c r="H16" s="15">
        <f>G16*E16*500</f>
        <v>33321.203999999838</v>
      </c>
      <c r="I16" s="15">
        <f>H16*2.931*POWER(10,-4)</f>
        <v>9.7664448923999529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92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16.32</v>
      </c>
      <c r="E20" s="15">
        <f>D20*(9/5)+32</f>
        <v>61.376000000000005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18.36</v>
      </c>
      <c r="E21" s="15">
        <f>D21*(9/5)+32</f>
        <v>65.048000000000002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2.0399999999999991</v>
      </c>
      <c r="E22" s="15">
        <f>E21-E20</f>
        <v>3.671999999999997</v>
      </c>
      <c r="F22" s="15">
        <v>10.23</v>
      </c>
      <c r="G22" s="15">
        <f>ROUND(F22*4.403,3)</f>
        <v>45.042999999999999</v>
      </c>
      <c r="H22" s="15">
        <f>G22*E22*500</f>
        <v>82698.947999999931</v>
      </c>
      <c r="I22" s="15">
        <f>H22*2.931*POWER(10,-4)</f>
        <v>24.239061658799983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3F81F-B82C-4258-988A-A09348F91391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93</v>
      </c>
      <c r="C7" s="22"/>
      <c r="D7" s="22"/>
      <c r="E7" s="22"/>
      <c r="F7" s="22"/>
      <c r="G7" s="19"/>
    </row>
    <row r="8" spans="1:13" ht="20.25" customHeight="1" x14ac:dyDescent="0.2">
      <c r="B8" s="30" t="s">
        <v>94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95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15.37</v>
      </c>
      <c r="E14" s="15">
        <f>D14*(9/5)+32</f>
        <v>59.665999999999997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17.93</v>
      </c>
      <c r="E15" s="15">
        <f>D15*(9/5)+32</f>
        <v>64.274000000000001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2.5600000000000005</v>
      </c>
      <c r="E16" s="15">
        <f>E15-E14</f>
        <v>4.6080000000000041</v>
      </c>
      <c r="F16" s="18">
        <v>11.37</v>
      </c>
      <c r="G16" s="15">
        <f>ROUND(F16*4.403,3)</f>
        <v>50.061999999999998</v>
      </c>
      <c r="H16" s="15">
        <f>G16*E16*500</f>
        <v>115342.8480000001</v>
      </c>
      <c r="I16" s="15">
        <f>H16*2.931*POWER(10,-4)</f>
        <v>33.806988748800038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96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9063</v>
      </c>
      <c r="E20" s="15">
        <f>D20*(9/5)+32</f>
        <v>16345.4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16.12</v>
      </c>
      <c r="E21" s="15">
        <f>D21*(9/5)+32</f>
        <v>61.016000000000005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-9046.8799999999992</v>
      </c>
      <c r="E22" s="15">
        <f>E21-E20</f>
        <v>-16284.384</v>
      </c>
      <c r="F22" s="15">
        <v>11.21</v>
      </c>
      <c r="G22" s="15">
        <f>ROUND(F22*4.403,3)</f>
        <v>49.357999999999997</v>
      </c>
      <c r="H22" s="15">
        <f>G22*E22*500</f>
        <v>-401882312.736</v>
      </c>
      <c r="I22" s="15">
        <f>H22*2.931*POWER(10,-4)</f>
        <v>-117791.7058629216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74C9-B293-441D-8887-0410CD80B4E8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97</v>
      </c>
      <c r="C7" s="22"/>
      <c r="D7" s="22"/>
      <c r="E7" s="22"/>
      <c r="F7" s="22"/>
      <c r="G7" s="19"/>
    </row>
    <row r="8" spans="1:13" ht="20.25" customHeight="1" x14ac:dyDescent="0.2">
      <c r="B8" s="30" t="s">
        <v>98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15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99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15.2</v>
      </c>
      <c r="E14" s="15">
        <f>D14*(9/5)+32</f>
        <v>59.36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18.829999999999998</v>
      </c>
      <c r="E15" s="15">
        <f>D15*(9/5)+32</f>
        <v>65.894000000000005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3.629999999999999</v>
      </c>
      <c r="E16" s="15">
        <f>E15-E14</f>
        <v>6.534000000000006</v>
      </c>
      <c r="F16" s="18">
        <v>11.89</v>
      </c>
      <c r="G16" s="15">
        <f>ROUND(F16*4.403,3)</f>
        <v>52.351999999999997</v>
      </c>
      <c r="H16" s="15">
        <f>G16*E16*500</f>
        <v>171033.98400000014</v>
      </c>
      <c r="I16" s="15">
        <f>H16*2.931*POWER(10,-4)</f>
        <v>50.130060710400045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100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13.2</v>
      </c>
      <c r="E20" s="15">
        <f>D20*(9/5)+32</f>
        <v>55.76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18.82</v>
      </c>
      <c r="E21" s="15">
        <f>D21*(9/5)+32</f>
        <v>65.876000000000005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5.620000000000001</v>
      </c>
      <c r="E22" s="15">
        <f>E21-E20</f>
        <v>10.116000000000007</v>
      </c>
      <c r="F22" s="15">
        <v>11.88</v>
      </c>
      <c r="G22" s="15">
        <f>ROUND(F22*4.403,3)</f>
        <v>52.308</v>
      </c>
      <c r="H22" s="15">
        <f>G22*E22*500</f>
        <v>264573.86400000018</v>
      </c>
      <c r="I22" s="15">
        <f>H22*2.931*POWER(10,-4)</f>
        <v>77.546599538400045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95BD4-187F-4E9D-8530-CA820CA83A4A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101</v>
      </c>
      <c r="C7" s="22"/>
      <c r="D7" s="22"/>
      <c r="E7" s="22"/>
      <c r="F7" s="22"/>
      <c r="G7" s="19"/>
    </row>
    <row r="8" spans="1:13" ht="20.25" customHeight="1" x14ac:dyDescent="0.2">
      <c r="B8" s="30" t="s">
        <v>102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15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103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14.8</v>
      </c>
      <c r="E14" s="15">
        <f>D14*(9/5)+32</f>
        <v>58.64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19.45</v>
      </c>
      <c r="E15" s="15">
        <f>D15*(9/5)+32</f>
        <v>67.009999999999991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4.6499999999999986</v>
      </c>
      <c r="E16" s="15">
        <f>E15-E14</f>
        <v>8.3699999999999903</v>
      </c>
      <c r="F16" s="18">
        <v>7.89</v>
      </c>
      <c r="G16" s="15">
        <f>ROUND(F16*4.403,3)</f>
        <v>34.74</v>
      </c>
      <c r="H16" s="15">
        <f>G16*E16*500</f>
        <v>145386.89999999982</v>
      </c>
      <c r="I16" s="15">
        <f>H16*2.931*POWER(10,-4)</f>
        <v>42.61290038999995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104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13.25</v>
      </c>
      <c r="E20" s="15">
        <f>D20*(9/5)+32</f>
        <v>55.85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19.46</v>
      </c>
      <c r="E21" s="15">
        <f>D21*(9/5)+32</f>
        <v>67.028000000000006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6.2100000000000009</v>
      </c>
      <c r="E22" s="15">
        <f>E21-E20</f>
        <v>11.178000000000004</v>
      </c>
      <c r="F22" s="15">
        <v>8.1999999999999993</v>
      </c>
      <c r="G22" s="15">
        <f>ROUND(F22*4.403,3)</f>
        <v>36.104999999999997</v>
      </c>
      <c r="H22" s="15">
        <f>G22*E22*500</f>
        <v>201790.84500000009</v>
      </c>
      <c r="I22" s="15">
        <f>H22*2.931*POWER(10,-4)</f>
        <v>59.144896669500035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EFB8-08F9-45FF-BA10-388EA6C76B69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105</v>
      </c>
      <c r="C7" s="22"/>
      <c r="D7" s="22"/>
      <c r="E7" s="22"/>
      <c r="F7" s="22"/>
      <c r="G7" s="19"/>
    </row>
    <row r="8" spans="1:13" ht="20.25" customHeight="1" x14ac:dyDescent="0.2">
      <c r="B8" s="30" t="s">
        <v>106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107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11.25</v>
      </c>
      <c r="E14" s="15">
        <f>D14*(9/5)+32</f>
        <v>52.25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21.16</v>
      </c>
      <c r="E15" s="15">
        <f>D15*(9/5)+32</f>
        <v>70.087999999999994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9.91</v>
      </c>
      <c r="E16" s="15">
        <f>E15-E14</f>
        <v>17.837999999999994</v>
      </c>
      <c r="F16" s="18">
        <v>10.462999999999999</v>
      </c>
      <c r="G16" s="15">
        <f>ROUND(F16*4.403,3)</f>
        <v>46.069000000000003</v>
      </c>
      <c r="H16" s="15">
        <f>G16*E16*500</f>
        <v>410889.41099999991</v>
      </c>
      <c r="I16" s="15">
        <f>H16*2.931*POWER(10,-4)</f>
        <v>120.43168636409997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107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12.08</v>
      </c>
      <c r="E20" s="15">
        <f>D20*(9/5)+32</f>
        <v>53.744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19.260000000000002</v>
      </c>
      <c r="E21" s="15">
        <f>D21*(9/5)+32</f>
        <v>66.668000000000006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7.1800000000000015</v>
      </c>
      <c r="E22" s="15">
        <f>E21-E20</f>
        <v>12.924000000000007</v>
      </c>
      <c r="F22" s="15">
        <v>11.11</v>
      </c>
      <c r="G22" s="15">
        <f>ROUND(F22*4.403,3)</f>
        <v>48.917000000000002</v>
      </c>
      <c r="H22" s="15">
        <f>G22*E22*500</f>
        <v>316101.65400000016</v>
      </c>
      <c r="I22" s="15">
        <f>H22*2.931*POWER(10,-4)</f>
        <v>92.649394787400041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F09A-DDC0-464D-8B75-AA911E5BE695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108</v>
      </c>
      <c r="C7" s="22"/>
      <c r="D7" s="22"/>
      <c r="E7" s="22"/>
      <c r="F7" s="22"/>
      <c r="G7" s="19"/>
    </row>
    <row r="8" spans="1:13" ht="20.25" customHeight="1" x14ac:dyDescent="0.2">
      <c r="B8" s="30" t="s">
        <v>109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110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11.29</v>
      </c>
      <c r="E14" s="15">
        <f>D14*(9/5)+32</f>
        <v>52.322000000000003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15.2</v>
      </c>
      <c r="E15" s="15">
        <f>D15*(9/5)+32</f>
        <v>59.36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3.91</v>
      </c>
      <c r="E16" s="15">
        <f>E15-E14</f>
        <v>7.0379999999999967</v>
      </c>
      <c r="F16" s="18">
        <v>14.4</v>
      </c>
      <c r="G16" s="15">
        <f>ROUND(F16*4.403,3)</f>
        <v>63.402999999999999</v>
      </c>
      <c r="H16" s="15">
        <f>G16*E16*500</f>
        <v>223115.15699999989</v>
      </c>
      <c r="I16" s="15">
        <f>H16*2.931*POWER(10,-4)</f>
        <v>65.395052516699963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111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10.050000000000001</v>
      </c>
      <c r="E20" s="15">
        <f>D20*(9/5)+32</f>
        <v>50.09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15.36</v>
      </c>
      <c r="E21" s="15">
        <f>D21*(9/5)+32</f>
        <v>59.647999999999996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5.3099999999999987</v>
      </c>
      <c r="E22" s="15">
        <f>E21-E20</f>
        <v>9.5579999999999927</v>
      </c>
      <c r="F22" s="15">
        <v>14.43</v>
      </c>
      <c r="G22" s="15">
        <f>ROUND(F22*4.403,3)</f>
        <v>63.534999999999997</v>
      </c>
      <c r="H22" s="15">
        <f>G22*E22*500</f>
        <v>303633.76499999978</v>
      </c>
      <c r="I22" s="15">
        <f>H22*2.931*POWER(10,-4)</f>
        <v>88.995056521499947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BACB-766E-4DD6-B675-E99D121FF65C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112</v>
      </c>
      <c r="C7" s="22"/>
      <c r="D7" s="22"/>
      <c r="E7" s="22"/>
      <c r="F7" s="22"/>
      <c r="G7" s="19"/>
    </row>
    <row r="8" spans="1:13" ht="20.25" customHeight="1" x14ac:dyDescent="0.2">
      <c r="B8" s="30" t="s">
        <v>113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15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114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8.6199999999999992</v>
      </c>
      <c r="E14" s="15">
        <f>D14*(9/5)+32</f>
        <v>47.515999999999998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8.7200000000000006</v>
      </c>
      <c r="E15" s="15">
        <f>D15*(9/5)+32</f>
        <v>47.695999999999998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0.10000000000000142</v>
      </c>
      <c r="E16" s="15">
        <f>E15-E14</f>
        <v>0.17999999999999972</v>
      </c>
      <c r="F16" s="18">
        <v>16.88</v>
      </c>
      <c r="G16" s="15">
        <f>ROUND(F16*4.403,3)</f>
        <v>74.322999999999993</v>
      </c>
      <c r="H16" s="15">
        <f>G16*E16*500</f>
        <v>6689.0699999999888</v>
      </c>
      <c r="I16" s="15">
        <f>H16*2.931*POWER(10,-4)</f>
        <v>1.9605664169999968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115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8.1199999999999992</v>
      </c>
      <c r="E20" s="15">
        <f>D20*(9/5)+32</f>
        <v>46.616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9.0299999999999994</v>
      </c>
      <c r="E21" s="15">
        <f>D21*(9/5)+32</f>
        <v>48.253999999999998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0.91000000000000014</v>
      </c>
      <c r="E22" s="15">
        <f>E21-E20</f>
        <v>1.6379999999999981</v>
      </c>
      <c r="F22" s="15">
        <v>16.89</v>
      </c>
      <c r="G22" s="15">
        <f>ROUND(F22*4.403,3)</f>
        <v>74.367000000000004</v>
      </c>
      <c r="H22" s="15">
        <f>G22*E22*500</f>
        <v>60906.572999999931</v>
      </c>
      <c r="I22" s="15">
        <f>H22*2.931*POWER(10,-4)</f>
        <v>17.851716546299983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8D08-44E9-4F8B-9179-1AA145AB5EC8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116</v>
      </c>
      <c r="C7" s="22"/>
      <c r="D7" s="22"/>
      <c r="E7" s="22"/>
      <c r="F7" s="22"/>
      <c r="G7" s="19"/>
    </row>
    <row r="8" spans="1:13" ht="20.25" customHeight="1" x14ac:dyDescent="0.2">
      <c r="B8" s="30" t="s">
        <v>117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15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118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7.68</v>
      </c>
      <c r="E14" s="15">
        <f>D14*(9/5)+32</f>
        <v>45.823999999999998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9.9499999999999993</v>
      </c>
      <c r="E15" s="15">
        <f>D15*(9/5)+32</f>
        <v>49.91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2.2699999999999996</v>
      </c>
      <c r="E16" s="15">
        <f>E15-E14</f>
        <v>4.0859999999999985</v>
      </c>
      <c r="F16" s="18">
        <v>17.059999999999999</v>
      </c>
      <c r="G16" s="15">
        <f>ROUND(F16*4.403,3)</f>
        <v>75.114999999999995</v>
      </c>
      <c r="H16" s="15">
        <f>G16*E16*500</f>
        <v>153459.94499999995</v>
      </c>
      <c r="I16" s="15">
        <f>H16*2.931*POWER(10,-4)</f>
        <v>44.979109879499987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119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8.23</v>
      </c>
      <c r="E20" s="15">
        <f>D20*(9/5)+32</f>
        <v>46.814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10.01</v>
      </c>
      <c r="E21" s="15">
        <f>D21*(9/5)+32</f>
        <v>50.018000000000001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1.7799999999999994</v>
      </c>
      <c r="E22" s="15">
        <f>E21-E20</f>
        <v>3.2040000000000006</v>
      </c>
      <c r="F22" s="15">
        <v>17.04</v>
      </c>
      <c r="G22" s="15">
        <f>ROUND(F22*4.403,3)</f>
        <v>75.027000000000001</v>
      </c>
      <c r="H22" s="15">
        <f>G22*E22*500</f>
        <v>120193.25400000003</v>
      </c>
      <c r="I22" s="15">
        <f>H22*2.931*POWER(10,-4)</f>
        <v>35.228642747400009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7F80-31F9-487E-919C-BF74A8FDCF4A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120</v>
      </c>
      <c r="C7" s="22"/>
      <c r="D7" s="22"/>
      <c r="E7" s="22"/>
      <c r="F7" s="22"/>
      <c r="G7" s="19"/>
    </row>
    <row r="8" spans="1:13" ht="20.25" customHeight="1" x14ac:dyDescent="0.2">
      <c r="B8" s="30" t="s">
        <v>121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122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22.34</v>
      </c>
      <c r="E14" s="15">
        <f>D14*(9/5)+32</f>
        <v>72.212000000000003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20.51</v>
      </c>
      <c r="E15" s="15">
        <f>D15*(9/5)+32</f>
        <v>68.918000000000006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1.8299999999999983</v>
      </c>
      <c r="E16" s="15">
        <f>E15-E14</f>
        <v>-3.2939999999999969</v>
      </c>
      <c r="F16" s="18">
        <v>10.867000000000001</v>
      </c>
      <c r="G16" s="15">
        <f>ROUND(F16*4.403,3)</f>
        <v>47.847000000000001</v>
      </c>
      <c r="H16" s="15">
        <f>G16*E16*500</f>
        <v>-78804.008999999918</v>
      </c>
      <c r="I16" s="15">
        <f>H16*2.931*POWER(10,-4)</f>
        <v>-23.097455037899977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123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12.23</v>
      </c>
      <c r="E20" s="15">
        <f>D20*(9/5)+32</f>
        <v>54.014000000000003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18.21</v>
      </c>
      <c r="E21" s="15">
        <f>D21*(9/5)+32</f>
        <v>64.778000000000006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5.98</v>
      </c>
      <c r="E22" s="15">
        <f>E21-E20</f>
        <v>10.764000000000003</v>
      </c>
      <c r="F22" s="15">
        <v>10.99</v>
      </c>
      <c r="G22" s="15">
        <f>ROUND(F22*4.403,3)</f>
        <v>48.389000000000003</v>
      </c>
      <c r="H22" s="15">
        <f>G22*E22*500</f>
        <v>260429.59800000011</v>
      </c>
      <c r="I22" s="15">
        <f>H22*2.931*POWER(10,-4)</f>
        <v>76.331915173800041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75DD-B69C-49FA-8BF7-E5E2A083E009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124</v>
      </c>
      <c r="C7" s="22"/>
      <c r="D7" s="22"/>
      <c r="E7" s="22"/>
      <c r="F7" s="22"/>
      <c r="G7" s="19"/>
    </row>
    <row r="8" spans="1:13" ht="20.25" customHeight="1" x14ac:dyDescent="0.2">
      <c r="B8" s="30" t="s">
        <v>125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126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18.809999999999999</v>
      </c>
      <c r="E14" s="15">
        <f>D14*(9/5)+32</f>
        <v>65.858000000000004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23.8</v>
      </c>
      <c r="E15" s="15">
        <f>D15*(9/5)+32</f>
        <v>74.84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4.990000000000002</v>
      </c>
      <c r="E16" s="15">
        <f>E15-E14</f>
        <v>8.9819999999999993</v>
      </c>
      <c r="F16" s="18">
        <v>8.5500000000000007</v>
      </c>
      <c r="G16" s="15">
        <f>ROUND(F16*4.403,3)</f>
        <v>37.646000000000001</v>
      </c>
      <c r="H16" s="15">
        <f>G16*E16*500</f>
        <v>169068.18599999999</v>
      </c>
      <c r="I16" s="15">
        <f>H16*2.931*POWER(10,-4)</f>
        <v>49.553885316600002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127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15.22</v>
      </c>
      <c r="E20" s="15">
        <f>D20*(9/5)+32</f>
        <v>59.396000000000001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20.32</v>
      </c>
      <c r="E21" s="15">
        <f>D21*(9/5)+32</f>
        <v>68.575999999999993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5.0999999999999996</v>
      </c>
      <c r="E22" s="15">
        <f>E21-E20</f>
        <v>9.1799999999999926</v>
      </c>
      <c r="F22" s="15">
        <v>8.06</v>
      </c>
      <c r="G22" s="15">
        <f>ROUND(F22*4.403,3)</f>
        <v>35.488</v>
      </c>
      <c r="H22" s="15">
        <f>G22*E22*500</f>
        <v>162889.91999999987</v>
      </c>
      <c r="I22" s="15">
        <f>H22*2.931*POWER(10,-4)</f>
        <v>47.743035551999967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7BEE2-60E4-437F-A00C-8FAADB446B5B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128</v>
      </c>
      <c r="C7" s="22"/>
      <c r="D7" s="22"/>
      <c r="E7" s="22"/>
      <c r="F7" s="22"/>
      <c r="G7" s="19"/>
    </row>
    <row r="8" spans="1:13" ht="20.25" customHeight="1" x14ac:dyDescent="0.2">
      <c r="B8" s="30" t="s">
        <v>129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15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130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18.75</v>
      </c>
      <c r="E14" s="15">
        <f>D14*(9/5)+32</f>
        <v>65.75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18.95</v>
      </c>
      <c r="E15" s="15">
        <f>D15*(9/5)+32</f>
        <v>66.11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0.19999999999999929</v>
      </c>
      <c r="E16" s="15">
        <f>E15-E14</f>
        <v>0.35999999999999943</v>
      </c>
      <c r="F16" s="18">
        <v>13.54</v>
      </c>
      <c r="G16" s="15">
        <f>ROUND(F16*4.403,3)</f>
        <v>59.616999999999997</v>
      </c>
      <c r="H16" s="15">
        <f>G16*E16*500</f>
        <v>10731.059999999983</v>
      </c>
      <c r="I16" s="15">
        <f>H16*2.931*POWER(10,-4)</f>
        <v>3.145273685999995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131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10.07</v>
      </c>
      <c r="E20" s="15">
        <f>D20*(9/5)+32</f>
        <v>50.126000000000005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16.2</v>
      </c>
      <c r="E21" s="15">
        <f>D21*(9/5)+32</f>
        <v>61.16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6.129999999999999</v>
      </c>
      <c r="E22" s="15">
        <f>E21-E20</f>
        <v>11.033999999999992</v>
      </c>
      <c r="F22" s="15">
        <v>14.02</v>
      </c>
      <c r="G22" s="15">
        <f>ROUND(F22*4.403,3)</f>
        <v>61.73</v>
      </c>
      <c r="H22" s="15">
        <f>G22*E22*500</f>
        <v>340564.40999999974</v>
      </c>
      <c r="I22" s="15">
        <f>H22*2.931*POWER(10,-4)</f>
        <v>99.819428570999932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3AAC0-B0A8-4130-834B-B561C6EA7AC7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132</v>
      </c>
      <c r="C7" s="22"/>
      <c r="D7" s="22"/>
      <c r="E7" s="22"/>
      <c r="F7" s="22"/>
      <c r="G7" s="19"/>
    </row>
    <row r="8" spans="1:13" ht="20.25" customHeight="1" x14ac:dyDescent="0.2">
      <c r="B8" s="30" t="s">
        <v>133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15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22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10.28</v>
      </c>
      <c r="E14" s="15">
        <f>D14*(9/5)+32</f>
        <v>50.503999999999998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13.77</v>
      </c>
      <c r="E15" s="15">
        <f>D15*(9/5)+32</f>
        <v>56.786000000000001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3.49</v>
      </c>
      <c r="E16" s="15">
        <f>E15-E14</f>
        <v>6.2820000000000036</v>
      </c>
      <c r="F16" s="18">
        <v>14.907999999999999</v>
      </c>
      <c r="G16" s="15">
        <f>ROUND(F16*4.403,3)</f>
        <v>65.64</v>
      </c>
      <c r="H16" s="15">
        <f>G16*E16*500</f>
        <v>206175.24000000011</v>
      </c>
      <c r="I16" s="15">
        <f>H16*2.931*POWER(10,-4)</f>
        <v>60.429962844000038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23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9.6199999999999992</v>
      </c>
      <c r="E20" s="15">
        <f>D20*(9/5)+32</f>
        <v>49.316000000000003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12.51</v>
      </c>
      <c r="E21" s="15">
        <f>D21*(9/5)+32</f>
        <v>54.518000000000001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2.8900000000000006</v>
      </c>
      <c r="E22" s="15">
        <f>E21-E20</f>
        <v>5.2019999999999982</v>
      </c>
      <c r="F22" s="15">
        <v>14.06</v>
      </c>
      <c r="G22" s="15">
        <f>ROUND(F22*4.403,3)</f>
        <v>61.905999999999999</v>
      </c>
      <c r="H22" s="15">
        <f>G22*E22*500</f>
        <v>161017.50599999994</v>
      </c>
      <c r="I22" s="15">
        <f>H22*2.931*POWER(10,-4)</f>
        <v>47.194231008599985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FF09-BDAF-4F35-969D-CC8CD6F05E63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134</v>
      </c>
      <c r="C7" s="22"/>
      <c r="D7" s="22"/>
      <c r="E7" s="22"/>
      <c r="F7" s="22"/>
      <c r="G7" s="19"/>
    </row>
    <row r="8" spans="1:13" ht="20.25" customHeight="1" x14ac:dyDescent="0.2">
      <c r="B8" s="30" t="s">
        <v>135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136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18.18</v>
      </c>
      <c r="E14" s="15">
        <f>D14*(9/5)+32</f>
        <v>64.724000000000004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19.649999999999999</v>
      </c>
      <c r="E15" s="15">
        <f>D15*(9/5)+32</f>
        <v>67.37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1.4699999999999989</v>
      </c>
      <c r="E16" s="15">
        <f>E15-E14</f>
        <v>2.6460000000000008</v>
      </c>
      <c r="F16" s="18">
        <v>14.13</v>
      </c>
      <c r="G16" s="15">
        <f>ROUND(F16*4.403,3)</f>
        <v>62.213999999999999</v>
      </c>
      <c r="H16" s="15">
        <f>G16*E16*500</f>
        <v>82309.122000000018</v>
      </c>
      <c r="I16" s="15">
        <f>H16*2.931*POWER(10,-4)</f>
        <v>24.124803658200008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137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17.23</v>
      </c>
      <c r="E20" s="15">
        <f>D20*(9/5)+32</f>
        <v>63.014000000000003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19.25</v>
      </c>
      <c r="E21" s="15">
        <f>D21*(9/5)+32</f>
        <v>66.650000000000006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2.0199999999999996</v>
      </c>
      <c r="E22" s="15">
        <f>E21-E20</f>
        <v>3.6360000000000028</v>
      </c>
      <c r="F22" s="15">
        <v>14.03</v>
      </c>
      <c r="G22" s="15">
        <f>ROUND(F22*4.403,3)</f>
        <v>61.774000000000001</v>
      </c>
      <c r="H22" s="15">
        <f>G22*E22*500</f>
        <v>112305.13200000009</v>
      </c>
      <c r="I22" s="15">
        <f>H22*2.931*POWER(10,-4)</f>
        <v>32.916634189200025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BB5A5-C916-400B-BD1B-56A41628E987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138</v>
      </c>
      <c r="C7" s="22"/>
      <c r="D7" s="22"/>
      <c r="E7" s="22"/>
      <c r="F7" s="22"/>
      <c r="G7" s="19"/>
    </row>
    <row r="8" spans="1:13" ht="20.25" customHeight="1" x14ac:dyDescent="0.2">
      <c r="B8" s="30" t="s">
        <v>139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140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16.23</v>
      </c>
      <c r="E14" s="15">
        <f>D14*(9/5)+32</f>
        <v>61.213999999999999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22.26</v>
      </c>
      <c r="E15" s="15">
        <f>D15*(9/5)+32</f>
        <v>72.068000000000012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6.0300000000000011</v>
      </c>
      <c r="E16" s="15">
        <f>E15-E14</f>
        <v>10.854000000000013</v>
      </c>
      <c r="F16" s="18">
        <v>14.92</v>
      </c>
      <c r="G16" s="15">
        <f>ROUND(F16*4.403,3)</f>
        <v>65.692999999999998</v>
      </c>
      <c r="H16" s="15">
        <f>G16*E16*500</f>
        <v>356515.91100000043</v>
      </c>
      <c r="I16" s="15">
        <f>H16*2.931*POWER(10,-4)</f>
        <v>104.49481351410013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141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10.01</v>
      </c>
      <c r="E20" s="15">
        <f>D20*(9/5)+32</f>
        <v>50.018000000000001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15.23</v>
      </c>
      <c r="E21" s="15">
        <f>D21*(9/5)+32</f>
        <v>59.414000000000001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5.2200000000000006</v>
      </c>
      <c r="E22" s="15">
        <f>E21-E20</f>
        <v>9.3960000000000008</v>
      </c>
      <c r="F22" s="15">
        <v>14.01</v>
      </c>
      <c r="G22" s="15">
        <f>ROUND(F22*4.403,3)</f>
        <v>61.686</v>
      </c>
      <c r="H22" s="15">
        <f>G22*E22*500</f>
        <v>289800.82800000004</v>
      </c>
      <c r="I22" s="15">
        <f>H22*2.931*POWER(10,-4)</f>
        <v>84.940622686800012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9C05-BAAF-47B4-97F2-EFA84A25A43E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142</v>
      </c>
      <c r="C7" s="22"/>
      <c r="D7" s="22"/>
      <c r="E7" s="22"/>
      <c r="F7" s="22"/>
      <c r="G7" s="19"/>
    </row>
    <row r="8" spans="1:13" ht="20.25" customHeight="1" x14ac:dyDescent="0.2">
      <c r="B8" s="30" t="s">
        <v>143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15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144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13.06</v>
      </c>
      <c r="E14" s="15">
        <f>D14*(9/5)+32</f>
        <v>55.508000000000003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18.760000000000002</v>
      </c>
      <c r="E15" s="15">
        <f>D15*(9/5)+32</f>
        <v>65.768000000000001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5.7000000000000011</v>
      </c>
      <c r="E16" s="15">
        <f>E15-E14</f>
        <v>10.259999999999998</v>
      </c>
      <c r="F16" s="18">
        <v>23.34</v>
      </c>
      <c r="G16" s="15">
        <f>ROUND(F16*4.403,3)</f>
        <v>102.76600000000001</v>
      </c>
      <c r="H16" s="15">
        <f>G16*E16*500</f>
        <v>527189.57999999996</v>
      </c>
      <c r="I16" s="15">
        <f>H16*2.931*POWER(10,-4)</f>
        <v>154.51926589799999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145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11.02</v>
      </c>
      <c r="E20" s="15">
        <f>D20*(9/5)+32</f>
        <v>51.835999999999999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17.03</v>
      </c>
      <c r="E21" s="15">
        <f>D21*(9/5)+32</f>
        <v>62.654000000000003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6.0100000000000016</v>
      </c>
      <c r="E22" s="15">
        <f>E21-E20</f>
        <v>10.818000000000005</v>
      </c>
      <c r="F22" s="15">
        <v>19.14</v>
      </c>
      <c r="G22" s="15">
        <f>ROUND(F22*4.403,3)</f>
        <v>84.272999999999996</v>
      </c>
      <c r="H22" s="15">
        <f>G22*E22*500</f>
        <v>455832.65700000024</v>
      </c>
      <c r="I22" s="15">
        <f>H22*2.931*POWER(10,-4)</f>
        <v>133.60455176670007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ADD4B-8786-4454-8844-EA7016087782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146</v>
      </c>
      <c r="C7" s="22"/>
      <c r="D7" s="22"/>
      <c r="E7" s="22"/>
      <c r="F7" s="22"/>
      <c r="G7" s="19"/>
    </row>
    <row r="8" spans="1:13" ht="20.25" customHeight="1" x14ac:dyDescent="0.2">
      <c r="B8" s="30" t="s">
        <v>147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148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149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18.03</v>
      </c>
      <c r="E14" s="15">
        <f>D14*(9/5)+32</f>
        <v>64.454000000000008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25.39</v>
      </c>
      <c r="E15" s="15">
        <f>D15*(9/5)+32</f>
        <v>77.701999999999998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7.3599999999999994</v>
      </c>
      <c r="E16" s="15">
        <f>E15-E14</f>
        <v>13.24799999999999</v>
      </c>
      <c r="F16" s="18">
        <v>18.783000000000001</v>
      </c>
      <c r="G16" s="15">
        <f>ROUND(F16*4.403,3)</f>
        <v>82.701999999999998</v>
      </c>
      <c r="H16" s="15">
        <f>G16*E16*500</f>
        <v>547818.0479999996</v>
      </c>
      <c r="I16" s="15">
        <f>H16*2.931*POWER(10,-4)</f>
        <v>160.56546986879988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150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14.03</v>
      </c>
      <c r="E20" s="15">
        <f>D20*(9/5)+32</f>
        <v>57.253999999999998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19.52</v>
      </c>
      <c r="E21" s="15">
        <f>D21*(9/5)+32</f>
        <v>67.135999999999996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5.49</v>
      </c>
      <c r="E22" s="15">
        <f>E21-E20</f>
        <v>9.8819999999999979</v>
      </c>
      <c r="F22" s="15">
        <v>18.8</v>
      </c>
      <c r="G22" s="15">
        <f>ROUND(F22*4.403,3)</f>
        <v>82.775999999999996</v>
      </c>
      <c r="H22" s="15">
        <f>G22*E22*500</f>
        <v>408996.2159999999</v>
      </c>
      <c r="I22" s="15">
        <f>H22*2.931*POWER(10,-4)</f>
        <v>119.87679090959999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E37CA-541D-4B99-8D58-4729C4058F77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151</v>
      </c>
      <c r="C7" s="22"/>
      <c r="D7" s="22"/>
      <c r="E7" s="22"/>
      <c r="F7" s="22"/>
      <c r="G7" s="19"/>
    </row>
    <row r="8" spans="1:13" ht="20.25" customHeight="1" x14ac:dyDescent="0.2">
      <c r="B8" s="30" t="s">
        <v>152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153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18.920000000000002</v>
      </c>
      <c r="E14" s="15">
        <f>D14*(9/5)+32</f>
        <v>66.056000000000012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19.89</v>
      </c>
      <c r="E15" s="15">
        <f>D15*(9/5)+32</f>
        <v>67.801999999999992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0.96999999999999886</v>
      </c>
      <c r="E16" s="15">
        <f>E15-E14</f>
        <v>1.7459999999999809</v>
      </c>
      <c r="F16" s="18">
        <v>2.581</v>
      </c>
      <c r="G16" s="15">
        <f>ROUND(F16*4.403,3)</f>
        <v>11.364000000000001</v>
      </c>
      <c r="H16" s="15">
        <f>G16*E16*500</f>
        <v>9920.7719999998935</v>
      </c>
      <c r="I16" s="15">
        <f>H16*2.931*POWER(10,-4)</f>
        <v>2.9077782731999688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154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13.02</v>
      </c>
      <c r="E20" s="15">
        <f>D20*(9/5)+32</f>
        <v>55.436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16.32</v>
      </c>
      <c r="E21" s="15">
        <f>D21*(9/5)+32</f>
        <v>61.376000000000005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3.3000000000000007</v>
      </c>
      <c r="E22" s="15">
        <f>E21-E20</f>
        <v>5.9400000000000048</v>
      </c>
      <c r="F22" s="15">
        <v>3.02</v>
      </c>
      <c r="G22" s="15">
        <f>ROUND(F22*4.403,3)</f>
        <v>13.297000000000001</v>
      </c>
      <c r="H22" s="15">
        <f>G22*E22*500</f>
        <v>39492.090000000033</v>
      </c>
      <c r="I22" s="15">
        <f>H22*2.931*POWER(10,-4)</f>
        <v>11.57513157900001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4E85-16BB-4510-B81C-5ACD42D4BED3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155</v>
      </c>
      <c r="C7" s="22"/>
      <c r="D7" s="22"/>
      <c r="E7" s="22"/>
      <c r="F7" s="22"/>
      <c r="G7" s="19"/>
    </row>
    <row r="8" spans="1:13" ht="20.25" customHeight="1" x14ac:dyDescent="0.2">
      <c r="B8" s="30" t="s">
        <v>156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157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20.59</v>
      </c>
      <c r="E14" s="15">
        <f>D14*(9/5)+32</f>
        <v>69.061999999999998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21.19</v>
      </c>
      <c r="E15" s="15">
        <f>D15*(9/5)+32</f>
        <v>70.141999999999996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0.60000000000000142</v>
      </c>
      <c r="E16" s="15">
        <f>E15-E14</f>
        <v>1.0799999999999983</v>
      </c>
      <c r="F16" s="18">
        <v>14.638999999999999</v>
      </c>
      <c r="G16" s="15">
        <f>ROUND(F16*4.403,3)</f>
        <v>64.456000000000003</v>
      </c>
      <c r="H16" s="15">
        <f>G16*E16*500</f>
        <v>34806.239999999947</v>
      </c>
      <c r="I16" s="15">
        <f>H16*2.931*POWER(10,-4)</f>
        <v>10.201708943999986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158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12.06</v>
      </c>
      <c r="E20" s="15">
        <f>D20*(9/5)+32</f>
        <v>53.707999999999998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18.25</v>
      </c>
      <c r="E21" s="15">
        <f>D21*(9/5)+32</f>
        <v>64.849999999999994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6.1899999999999995</v>
      </c>
      <c r="E22" s="15">
        <f>E21-E20</f>
        <v>11.141999999999996</v>
      </c>
      <c r="F22" s="15">
        <v>15.01</v>
      </c>
      <c r="G22" s="15">
        <f>ROUND(F22*4.403,3)</f>
        <v>66.088999999999999</v>
      </c>
      <c r="H22" s="15">
        <f>G22*E22*500</f>
        <v>368181.81899999984</v>
      </c>
      <c r="I22" s="15">
        <f>H22*2.931*POWER(10,-4)</f>
        <v>107.91409114889997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967C-6550-4DA9-BFCB-BB9AD96887B8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159</v>
      </c>
      <c r="C7" s="22"/>
      <c r="D7" s="22"/>
      <c r="E7" s="22"/>
      <c r="F7" s="22"/>
      <c r="G7" s="19"/>
    </row>
    <row r="8" spans="1:13" ht="20.25" customHeight="1" x14ac:dyDescent="0.2">
      <c r="B8" s="30" t="s">
        <v>160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15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161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21.01</v>
      </c>
      <c r="E14" s="15">
        <f>D14*(9/5)+32</f>
        <v>69.818000000000012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22.3</v>
      </c>
      <c r="E15" s="15">
        <f>D15*(9/5)+32</f>
        <v>72.14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1.2899999999999991</v>
      </c>
      <c r="E16" s="15">
        <f>E15-E14</f>
        <v>2.3219999999999885</v>
      </c>
      <c r="F16" s="18">
        <v>16.123000000000001</v>
      </c>
      <c r="G16" s="15">
        <f>ROUND(F16*4.403,3)</f>
        <v>70.989999999999995</v>
      </c>
      <c r="H16" s="15">
        <f>G16*E16*500</f>
        <v>82419.389999999577</v>
      </c>
      <c r="I16" s="15">
        <f>H16*2.931*POWER(10,-4)</f>
        <v>24.157123208999877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161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11.31</v>
      </c>
      <c r="E20" s="15">
        <f>D20*(9/5)+32</f>
        <v>52.358000000000004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14.23</v>
      </c>
      <c r="E21" s="15">
        <f>D21*(9/5)+32</f>
        <v>57.614000000000004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2.92</v>
      </c>
      <c r="E22" s="15">
        <f>E21-E20</f>
        <v>5.2560000000000002</v>
      </c>
      <c r="F22" s="15">
        <v>16.23</v>
      </c>
      <c r="G22" s="15">
        <f>ROUND(F22*4.403,3)</f>
        <v>71.460999999999999</v>
      </c>
      <c r="H22" s="15">
        <f>G22*E22*500</f>
        <v>187799.508</v>
      </c>
      <c r="I22" s="15">
        <f>H22*2.931*POWER(10,-4)</f>
        <v>55.044035794799996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E814-5C49-4126-A82A-6DE661AD0344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162</v>
      </c>
      <c r="C7" s="22"/>
      <c r="D7" s="22"/>
      <c r="E7" s="22"/>
      <c r="F7" s="22"/>
      <c r="G7" s="19"/>
    </row>
    <row r="8" spans="1:13" ht="20.25" customHeight="1" x14ac:dyDescent="0.2">
      <c r="B8" s="30" t="s">
        <v>163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15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164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20.93</v>
      </c>
      <c r="E14" s="15">
        <f>D14*(9/5)+32</f>
        <v>69.674000000000007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21.65</v>
      </c>
      <c r="E15" s="15">
        <f>D15*(9/5)+32</f>
        <v>70.97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0.71999999999999886</v>
      </c>
      <c r="E16" s="15">
        <f>E15-E14</f>
        <v>1.2959999999999923</v>
      </c>
      <c r="F16" s="18">
        <v>10.949</v>
      </c>
      <c r="G16" s="15">
        <f>ROUND(F16*4.403,3)</f>
        <v>48.207999999999998</v>
      </c>
      <c r="H16" s="15">
        <f>G16*E16*500</f>
        <v>31238.783999999814</v>
      </c>
      <c r="I16" s="15">
        <f>H16*2.931*POWER(10,-4)</f>
        <v>9.156087590399947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165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13.26</v>
      </c>
      <c r="E20" s="15">
        <f>D20*(9/5)+32</f>
        <v>55.867999999999995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17.52</v>
      </c>
      <c r="E21" s="15">
        <f>D21*(9/5)+32</f>
        <v>63.536000000000001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4.26</v>
      </c>
      <c r="E22" s="15">
        <f>E21-E20</f>
        <v>7.6680000000000064</v>
      </c>
      <c r="F22" s="15">
        <v>12.02</v>
      </c>
      <c r="G22" s="15">
        <f>ROUND(F22*4.403,3)</f>
        <v>52.923999999999999</v>
      </c>
      <c r="H22" s="15">
        <f>G22*E22*500</f>
        <v>202910.61600000018</v>
      </c>
      <c r="I22" s="15">
        <f>H22*2.931*POWER(10,-4)</f>
        <v>59.473101549600059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9C50-C2E5-497C-8D5F-027DCA318609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166</v>
      </c>
      <c r="C7" s="22"/>
      <c r="D7" s="22"/>
      <c r="E7" s="22"/>
      <c r="F7" s="22"/>
      <c r="G7" s="19"/>
    </row>
    <row r="8" spans="1:13" ht="20.25" customHeight="1" x14ac:dyDescent="0.2">
      <c r="B8" s="30" t="s">
        <v>167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168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17.48</v>
      </c>
      <c r="E14" s="15">
        <f>D14*(9/5)+32</f>
        <v>63.463999999999999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20.13</v>
      </c>
      <c r="E15" s="15">
        <f>D15*(9/5)+32</f>
        <v>68.234000000000009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2.6499999999999986</v>
      </c>
      <c r="E16" s="15">
        <f>E15-E14</f>
        <v>4.7700000000000102</v>
      </c>
      <c r="F16" s="18">
        <v>20.22</v>
      </c>
      <c r="G16" s="15">
        <f>ROUND(F16*4.403,3)</f>
        <v>89.028999999999996</v>
      </c>
      <c r="H16" s="15">
        <f>G16*E16*500</f>
        <v>212334.16500000044</v>
      </c>
      <c r="I16" s="15">
        <f>H16*2.931*POWER(10,-4)</f>
        <v>62.23514376150014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169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16.3</v>
      </c>
      <c r="E20" s="15">
        <f>D20*(9/5)+32</f>
        <v>61.34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18.21</v>
      </c>
      <c r="E21" s="15">
        <f>D21*(9/5)+32</f>
        <v>64.778000000000006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1.9100000000000001</v>
      </c>
      <c r="E22" s="15">
        <f>E21-E20</f>
        <v>3.4380000000000024</v>
      </c>
      <c r="F22" s="15">
        <v>19.260000000000002</v>
      </c>
      <c r="G22" s="15">
        <f>ROUND(F22*4.403,3)</f>
        <v>84.802000000000007</v>
      </c>
      <c r="H22" s="15">
        <f>G22*E22*500</f>
        <v>145774.63800000012</v>
      </c>
      <c r="I22" s="15">
        <f>H22*2.931*POWER(10,-4)</f>
        <v>42.726546397800043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D7D1-06BA-4922-99A3-2749A06D421A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170</v>
      </c>
      <c r="C7" s="22"/>
      <c r="D7" s="22"/>
      <c r="E7" s="22"/>
      <c r="F7" s="22"/>
      <c r="G7" s="19"/>
    </row>
    <row r="8" spans="1:13" ht="20.25" customHeight="1" x14ac:dyDescent="0.2">
      <c r="B8" s="30" t="s">
        <v>171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172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18.95</v>
      </c>
      <c r="E14" s="15">
        <f>D14*(9/5)+32</f>
        <v>66.11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19</v>
      </c>
      <c r="E15" s="15">
        <f>D15*(9/5)+32</f>
        <v>66.2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5.0000000000000711E-2</v>
      </c>
      <c r="E16" s="15">
        <f>E15-E14</f>
        <v>9.0000000000003411E-2</v>
      </c>
      <c r="F16" s="18">
        <v>20.13</v>
      </c>
      <c r="G16" s="15">
        <f>ROUND(F16*4.403,3)</f>
        <v>88.632000000000005</v>
      </c>
      <c r="H16" s="15">
        <f>G16*E16*500</f>
        <v>3988.440000000151</v>
      </c>
      <c r="I16" s="15">
        <f>H16*2.931*POWER(10,-4)</f>
        <v>1.1690117640000444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172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14.01</v>
      </c>
      <c r="E20" s="15">
        <f>D20*(9/5)+32</f>
        <v>57.218000000000004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16.09</v>
      </c>
      <c r="E21" s="15">
        <f>D21*(9/5)+32</f>
        <v>60.962000000000003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2.08</v>
      </c>
      <c r="E22" s="15">
        <f>E21-E20</f>
        <v>3.7439999999999998</v>
      </c>
      <c r="F22" s="15">
        <v>17.13</v>
      </c>
      <c r="G22" s="15">
        <f>ROUND(F22*4.403,3)</f>
        <v>75.423000000000002</v>
      </c>
      <c r="H22" s="15">
        <f>G22*E22*500</f>
        <v>141191.856</v>
      </c>
      <c r="I22" s="15">
        <f>H22*2.931*POWER(10,-4)</f>
        <v>41.3833329936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F546C-5B58-49E8-8C6E-9117AE1A3E11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173</v>
      </c>
      <c r="C7" s="22"/>
      <c r="D7" s="22"/>
      <c r="E7" s="22"/>
      <c r="F7" s="22"/>
      <c r="G7" s="19"/>
    </row>
    <row r="8" spans="1:13" ht="20.25" customHeight="1" x14ac:dyDescent="0.2">
      <c r="B8" s="30" t="s">
        <v>174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15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175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18.100000000000001</v>
      </c>
      <c r="E14" s="15">
        <f>D14*(9/5)+32</f>
        <v>64.580000000000013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19.89</v>
      </c>
      <c r="E15" s="15">
        <f>D15*(9/5)+32</f>
        <v>67.801999999999992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1.7899999999999991</v>
      </c>
      <c r="E16" s="15">
        <f>E15-E14</f>
        <v>3.22199999999998</v>
      </c>
      <c r="F16" s="18">
        <v>16.25</v>
      </c>
      <c r="G16" s="15">
        <f>ROUND(F16*4.403,3)</f>
        <v>71.549000000000007</v>
      </c>
      <c r="H16" s="15">
        <f>G16*E16*500</f>
        <v>115265.43899999929</v>
      </c>
      <c r="I16" s="15">
        <f>H16*2.931*POWER(10,-4)</f>
        <v>33.784300170899797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176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12.13</v>
      </c>
      <c r="E20" s="15">
        <f>D20*(9/5)+32</f>
        <v>53.834000000000003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15.06</v>
      </c>
      <c r="E21" s="15">
        <f>D21*(9/5)+32</f>
        <v>59.108000000000004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2.9299999999999997</v>
      </c>
      <c r="E22" s="15">
        <f>E21-E20</f>
        <v>5.2740000000000009</v>
      </c>
      <c r="F22" s="15">
        <v>19.04</v>
      </c>
      <c r="G22" s="15">
        <f>ROUND(F22*4.403,3)</f>
        <v>83.832999999999998</v>
      </c>
      <c r="H22" s="15">
        <f>G22*E22*500</f>
        <v>221067.62100000004</v>
      </c>
      <c r="I22" s="15">
        <f>H22*2.931*POWER(10,-4)</f>
        <v>64.794919715100022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3A65-4A78-4FEA-BE50-F893D911D893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177</v>
      </c>
      <c r="C7" s="22"/>
      <c r="D7" s="22"/>
      <c r="E7" s="22"/>
      <c r="F7" s="22"/>
      <c r="G7" s="19"/>
    </row>
    <row r="8" spans="1:13" ht="20.25" customHeight="1" x14ac:dyDescent="0.2">
      <c r="B8" s="30" t="s">
        <v>178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15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179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20.57</v>
      </c>
      <c r="E14" s="15">
        <f>D14*(9/5)+32</f>
        <v>69.02600000000001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21.44</v>
      </c>
      <c r="E15" s="15">
        <f>D15*(9/5)+32</f>
        <v>70.592000000000013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0.87000000000000099</v>
      </c>
      <c r="E16" s="15">
        <f>E15-E14</f>
        <v>1.5660000000000025</v>
      </c>
      <c r="F16" s="18">
        <v>19.239999999999998</v>
      </c>
      <c r="G16" s="15">
        <f>ROUND(F16*4.403,3)</f>
        <v>84.713999999999999</v>
      </c>
      <c r="H16" s="15">
        <f>G16*E16*500</f>
        <v>66331.062000000107</v>
      </c>
      <c r="I16" s="15">
        <f>H16*2.931*POWER(10,-4)</f>
        <v>19.441634272200034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180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11.41</v>
      </c>
      <c r="E20" s="15">
        <f>D20*(9/5)+32</f>
        <v>52.537999999999997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16.010000000000002</v>
      </c>
      <c r="E21" s="15">
        <f>D21*(9/5)+32</f>
        <v>60.818000000000005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4.6000000000000014</v>
      </c>
      <c r="E22" s="15">
        <f>E21-E20</f>
        <v>8.2800000000000082</v>
      </c>
      <c r="F22" s="15">
        <v>19.010000000000002</v>
      </c>
      <c r="G22" s="15">
        <f>ROUND(F22*4.403,3)</f>
        <v>83.700999999999993</v>
      </c>
      <c r="H22" s="15">
        <f>G22*E22*500</f>
        <v>346522.14000000031</v>
      </c>
      <c r="I22" s="15">
        <f>H22*2.931*POWER(10,-4)</f>
        <v>101.5656392340001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E30D-B83A-4EEF-B6F1-29E953CC6513}">
  <dimension ref="A2:M34"/>
  <sheetViews>
    <sheetView showGridLines="0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181</v>
      </c>
      <c r="C7" s="22"/>
      <c r="D7" s="22"/>
      <c r="E7" s="22"/>
      <c r="F7" s="22"/>
      <c r="G7" s="19"/>
    </row>
    <row r="8" spans="1:13" ht="20.25" customHeight="1" x14ac:dyDescent="0.2">
      <c r="B8" s="30" t="s">
        <v>182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183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13.84</v>
      </c>
      <c r="E14" s="15">
        <f>D14*(9/5)+32</f>
        <v>56.911999999999999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14.06</v>
      </c>
      <c r="E15" s="15">
        <f>D15*(9/5)+32</f>
        <v>57.308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0.22000000000000064</v>
      </c>
      <c r="E16" s="15">
        <f>E15-E14</f>
        <v>0.3960000000000008</v>
      </c>
      <c r="F16" s="18">
        <v>5.2850000000000001</v>
      </c>
      <c r="G16" s="15">
        <f>ROUND(F16*4.403,3)</f>
        <v>23.27</v>
      </c>
      <c r="H16" s="15">
        <f>G16*E16*500</f>
        <v>4607.4600000000091</v>
      </c>
      <c r="I16" s="15">
        <f>H16*2.931*POWER(10,-4)</f>
        <v>1.3504465260000027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184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12.24</v>
      </c>
      <c r="E20" s="15">
        <f>D20*(9/5)+32</f>
        <v>54.031999999999996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14.06</v>
      </c>
      <c r="E21" s="15">
        <f>D21*(9/5)+32</f>
        <v>57.308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1.8200000000000003</v>
      </c>
      <c r="E22" s="15">
        <f>E21-E20</f>
        <v>3.2760000000000034</v>
      </c>
      <c r="F22" s="15">
        <v>6.21</v>
      </c>
      <c r="G22" s="15">
        <f>ROUND(F22*4.403,3)</f>
        <v>27.343</v>
      </c>
      <c r="H22" s="15">
        <f>G22*E22*500</f>
        <v>44787.834000000046</v>
      </c>
      <c r="I22" s="15">
        <f>H22*2.931*POWER(10,-4)</f>
        <v>13.127314145400016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A338-DAF8-415F-B5E6-7135ED5E8006}">
  <dimension ref="A2:M34"/>
  <sheetViews>
    <sheetView showGridLines="0" tabSelected="1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28" t="s">
        <v>18</v>
      </c>
      <c r="D2" s="28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17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1"/>
      <c r="C6" s="20"/>
      <c r="D6" s="20"/>
      <c r="E6" s="20"/>
      <c r="F6" s="20"/>
      <c r="G6" s="20"/>
      <c r="H6" s="20"/>
      <c r="I6" s="20"/>
    </row>
    <row r="7" spans="1:13" ht="23.25" customHeight="1" x14ac:dyDescent="0.2">
      <c r="B7" s="22" t="s">
        <v>185</v>
      </c>
      <c r="C7" s="22"/>
      <c r="D7" s="22"/>
      <c r="E7" s="22"/>
      <c r="F7" s="22"/>
      <c r="G7" s="19"/>
    </row>
    <row r="8" spans="1:13" ht="20.25" customHeight="1" x14ac:dyDescent="0.2">
      <c r="B8" s="30" t="s">
        <v>186</v>
      </c>
      <c r="C8" s="30"/>
      <c r="D8" s="30"/>
      <c r="E8" s="30"/>
      <c r="F8" s="30"/>
      <c r="G8" s="19"/>
      <c r="H8" s="30" t="s">
        <v>16</v>
      </c>
      <c r="I8" s="30"/>
      <c r="J8" s="30"/>
      <c r="K8" s="30"/>
      <c r="L8" s="30"/>
    </row>
    <row r="9" spans="1:13" ht="29.25" customHeight="1" x14ac:dyDescent="0.2">
      <c r="B9" s="22" t="s">
        <v>21</v>
      </c>
      <c r="C9" s="22"/>
      <c r="D9" s="22"/>
      <c r="E9" s="22"/>
      <c r="F9" s="22"/>
      <c r="G9" s="19"/>
      <c r="I9" s="22" t="s">
        <v>14</v>
      </c>
      <c r="J9" s="22"/>
      <c r="K9" s="22"/>
    </row>
    <row r="10" spans="1:13" ht="14.25" customHeight="1" x14ac:dyDescent="0.2">
      <c r="B10" s="19"/>
      <c r="C10" s="19"/>
      <c r="D10" s="19"/>
      <c r="E10" s="19"/>
      <c r="F10" s="19"/>
      <c r="G10" s="19"/>
      <c r="I10" s="19"/>
      <c r="J10" s="19"/>
      <c r="K10" s="19"/>
    </row>
    <row r="11" spans="1:13" x14ac:dyDescent="0.2">
      <c r="B11" s="19"/>
      <c r="C11" s="19"/>
      <c r="D11" s="19"/>
      <c r="E11" s="19"/>
      <c r="F11" s="19"/>
      <c r="G11" s="19"/>
      <c r="H11" s="19"/>
      <c r="I11" s="19"/>
    </row>
    <row r="12" spans="1:13" ht="18.75" customHeight="1" x14ac:dyDescent="0.2">
      <c r="A12" s="11"/>
      <c r="B12" s="23" t="s">
        <v>13</v>
      </c>
      <c r="C12" s="24"/>
      <c r="D12" s="24"/>
      <c r="E12" s="24"/>
      <c r="F12" s="24"/>
      <c r="G12" s="24"/>
      <c r="H12" s="24"/>
      <c r="I12" s="24"/>
      <c r="J12" s="24"/>
      <c r="K12" s="11"/>
    </row>
    <row r="13" spans="1:13" s="13" customFormat="1" ht="27.75" customHeight="1" x14ac:dyDescent="0.2">
      <c r="B13" s="15"/>
      <c r="C13" s="10"/>
      <c r="D13" s="15" t="s">
        <v>11</v>
      </c>
      <c r="E13" s="15" t="s">
        <v>10</v>
      </c>
      <c r="F13" s="15" t="s">
        <v>9</v>
      </c>
      <c r="G13" s="15" t="s">
        <v>8</v>
      </c>
      <c r="H13" s="17" t="s">
        <v>7</v>
      </c>
      <c r="I13" s="15" t="s">
        <v>187</v>
      </c>
      <c r="J13" s="10"/>
    </row>
    <row r="14" spans="1:13" s="13" customFormat="1" ht="18.75" customHeight="1" x14ac:dyDescent="0.2">
      <c r="B14" s="15">
        <v>1</v>
      </c>
      <c r="C14" s="10" t="s">
        <v>6</v>
      </c>
      <c r="D14" s="15">
        <v>10.82</v>
      </c>
      <c r="E14" s="15">
        <f>D14*(9/5)+32</f>
        <v>51.475999999999999</v>
      </c>
      <c r="F14" s="10"/>
      <c r="G14" s="10"/>
      <c r="H14" s="10"/>
      <c r="I14" s="10"/>
      <c r="J14" s="10"/>
    </row>
    <row r="15" spans="1:13" s="16" customFormat="1" ht="18.75" customHeight="1" x14ac:dyDescent="0.2">
      <c r="A15" s="13"/>
      <c r="B15" s="15">
        <v>2</v>
      </c>
      <c r="C15" s="10" t="s">
        <v>5</v>
      </c>
      <c r="D15" s="15">
        <v>16.489999999999998</v>
      </c>
      <c r="E15" s="15">
        <f>D15*(9/5)+32</f>
        <v>61.682000000000002</v>
      </c>
      <c r="F15" s="10"/>
      <c r="G15" s="10"/>
      <c r="H15" s="10"/>
      <c r="I15" s="10"/>
      <c r="J15" s="10"/>
      <c r="K15" s="13"/>
      <c r="L15" s="14"/>
      <c r="M15" s="14"/>
    </row>
    <row r="16" spans="1:13" s="13" customFormat="1" ht="18.75" customHeight="1" x14ac:dyDescent="0.2">
      <c r="B16" s="15"/>
      <c r="C16" s="10" t="s">
        <v>3</v>
      </c>
      <c r="D16" s="15">
        <v>5.6699999999999982</v>
      </c>
      <c r="E16" s="15">
        <f>E15-E14</f>
        <v>10.206000000000003</v>
      </c>
      <c r="F16" s="18">
        <v>19.623000000000001</v>
      </c>
      <c r="G16" s="15">
        <f>ROUND(F16*4.403,3)</f>
        <v>86.4</v>
      </c>
      <c r="H16" s="15">
        <f>G16*E16*500</f>
        <v>440899.20000000019</v>
      </c>
      <c r="I16" s="15">
        <f>H16*2.931*POWER(10,-4)</f>
        <v>129.22755552000007</v>
      </c>
      <c r="J16" s="10"/>
      <c r="L16" s="14"/>
      <c r="M16" s="14"/>
    </row>
    <row r="17" spans="1:13" ht="18.75" customHeight="1" x14ac:dyDescent="0.2">
      <c r="B17" s="1"/>
      <c r="D17" s="25"/>
      <c r="E17" s="25"/>
      <c r="F17" s="25"/>
      <c r="G17" s="25"/>
      <c r="H17" s="25"/>
      <c r="I17" s="25"/>
      <c r="J17" s="25"/>
    </row>
    <row r="18" spans="1:13" ht="18.75" customHeight="1" x14ac:dyDescent="0.2">
      <c r="A18" s="11"/>
      <c r="B18" s="23" t="s">
        <v>12</v>
      </c>
      <c r="C18" s="24"/>
      <c r="D18" s="24"/>
      <c r="E18" s="24"/>
      <c r="F18" s="24"/>
      <c r="G18" s="24"/>
      <c r="H18" s="24"/>
      <c r="I18" s="24"/>
      <c r="J18" s="26"/>
      <c r="K18" s="11"/>
    </row>
    <row r="19" spans="1:13" s="13" customFormat="1" ht="26.25" customHeight="1" x14ac:dyDescent="0.2">
      <c r="B19" s="15"/>
      <c r="C19" s="10"/>
      <c r="D19" s="15" t="s">
        <v>11</v>
      </c>
      <c r="E19" s="15" t="s">
        <v>10</v>
      </c>
      <c r="F19" s="15" t="s">
        <v>9</v>
      </c>
      <c r="G19" s="15" t="s">
        <v>8</v>
      </c>
      <c r="H19" s="17" t="s">
        <v>7</v>
      </c>
      <c r="I19" s="15" t="s">
        <v>188</v>
      </c>
      <c r="J19" s="10"/>
    </row>
    <row r="20" spans="1:13" s="13" customFormat="1" ht="18.75" customHeight="1" x14ac:dyDescent="0.2">
      <c r="B20" s="15">
        <v>1</v>
      </c>
      <c r="C20" s="10" t="s">
        <v>6</v>
      </c>
      <c r="D20" s="15">
        <v>10.119999999999999</v>
      </c>
      <c r="E20" s="15">
        <f>D20*(9/5)+32</f>
        <v>50.215999999999994</v>
      </c>
      <c r="F20" s="10"/>
      <c r="G20" s="10"/>
      <c r="H20" s="10"/>
      <c r="I20" s="10"/>
      <c r="J20" s="10"/>
    </row>
    <row r="21" spans="1:13" s="16" customFormat="1" ht="18.75" customHeight="1" x14ac:dyDescent="0.2">
      <c r="A21" s="13"/>
      <c r="B21" s="15">
        <v>2</v>
      </c>
      <c r="C21" s="10" t="s">
        <v>5</v>
      </c>
      <c r="D21" s="15">
        <v>16.059999999999999</v>
      </c>
      <c r="E21" s="15">
        <f>D21*(9/5)+32</f>
        <v>60.908000000000001</v>
      </c>
      <c r="F21" s="10" t="s">
        <v>4</v>
      </c>
      <c r="G21" s="10"/>
      <c r="H21" s="10"/>
      <c r="I21" s="10"/>
      <c r="J21" s="10"/>
      <c r="K21" s="13"/>
      <c r="L21" s="14"/>
      <c r="M21" s="14"/>
    </row>
    <row r="22" spans="1:13" s="13" customFormat="1" ht="18.75" customHeight="1" x14ac:dyDescent="0.2">
      <c r="B22" s="15"/>
      <c r="C22" s="10" t="s">
        <v>3</v>
      </c>
      <c r="D22" s="15">
        <f>D21-D20</f>
        <v>5.9399999999999995</v>
      </c>
      <c r="E22" s="15">
        <f>E21-E20</f>
        <v>10.692000000000007</v>
      </c>
      <c r="F22" s="15">
        <v>18.02</v>
      </c>
      <c r="G22" s="15">
        <f>ROUND(F22*4.403,3)</f>
        <v>79.341999999999999</v>
      </c>
      <c r="H22" s="15">
        <f>G22*E22*500</f>
        <v>424162.33200000029</v>
      </c>
      <c r="I22" s="15">
        <f>H22*2.931*POWER(10,-4)</f>
        <v>124.32197950920009</v>
      </c>
      <c r="J22" s="10"/>
      <c r="L22" s="14"/>
      <c r="M22" s="14"/>
    </row>
    <row r="23" spans="1:13" ht="18.75" customHeight="1" x14ac:dyDescent="0.2">
      <c r="B23" s="11"/>
      <c r="C23" s="11"/>
      <c r="D23" s="11"/>
      <c r="E23" s="12"/>
      <c r="F23" s="12"/>
      <c r="G23" s="12"/>
      <c r="H23" s="12"/>
      <c r="I23" s="12"/>
      <c r="J23" s="12"/>
    </row>
    <row r="24" spans="1:13" ht="18.75" customHeight="1" x14ac:dyDescent="0.2">
      <c r="J24" s="10"/>
      <c r="K24" s="11"/>
    </row>
    <row r="25" spans="1:13" ht="24.75" customHeight="1" x14ac:dyDescent="0.2">
      <c r="B25" s="5"/>
      <c r="C25" s="5"/>
      <c r="D25" s="5"/>
      <c r="E25" s="5"/>
      <c r="F25" s="5"/>
      <c r="G25" s="5"/>
      <c r="H25" s="5"/>
      <c r="I25" s="5"/>
      <c r="J25" s="10"/>
      <c r="K25"/>
      <c r="L25"/>
      <c r="M25"/>
    </row>
    <row r="26" spans="1:13" x14ac:dyDescent="0.2">
      <c r="B26" s="9" t="s">
        <v>2</v>
      </c>
      <c r="C26" s="9"/>
      <c r="D26" s="9"/>
      <c r="E26" s="9"/>
      <c r="F26" s="9"/>
      <c r="G26" s="9"/>
      <c r="H26" s="9"/>
      <c r="I26" s="9"/>
      <c r="J26" s="5"/>
      <c r="K26"/>
      <c r="L26"/>
      <c r="M26"/>
    </row>
    <row r="27" spans="1:13" ht="16.5" customHeight="1" x14ac:dyDescent="0.2">
      <c r="B27" s="7"/>
      <c r="C27" s="7"/>
      <c r="D27" s="7"/>
      <c r="E27" s="7"/>
      <c r="F27" s="7"/>
      <c r="G27" s="7"/>
      <c r="H27" s="7"/>
      <c r="I27" s="7"/>
      <c r="J27" s="5"/>
      <c r="K27"/>
      <c r="L27"/>
      <c r="M27"/>
    </row>
    <row r="28" spans="1:13" ht="21.6" customHeight="1" x14ac:dyDescent="0.2">
      <c r="B28" s="5"/>
      <c r="C28" s="5"/>
      <c r="D28" s="5"/>
      <c r="E28" s="5"/>
      <c r="F28" s="5"/>
      <c r="G28" s="5"/>
      <c r="H28" s="5"/>
      <c r="I28" s="5"/>
      <c r="J28" s="9"/>
      <c r="K28"/>
      <c r="L28"/>
      <c r="M28"/>
    </row>
    <row r="29" spans="1:13" ht="21.6" customHeight="1" x14ac:dyDescent="0.2">
      <c r="B29" s="8"/>
      <c r="C29"/>
      <c r="D29"/>
      <c r="E29"/>
      <c r="F29"/>
      <c r="G29"/>
      <c r="H29"/>
      <c r="I29"/>
      <c r="J29" s="7"/>
      <c r="K29"/>
    </row>
    <row r="30" spans="1:13" ht="21.6" customHeight="1" x14ac:dyDescent="0.2">
      <c r="C30"/>
      <c r="D30"/>
      <c r="E30"/>
      <c r="F30"/>
      <c r="G30"/>
      <c r="H30"/>
      <c r="I30" s="6" t="s">
        <v>1</v>
      </c>
      <c r="J30" s="5"/>
      <c r="K30"/>
    </row>
    <row r="31" spans="1:13" x14ac:dyDescent="0.2">
      <c r="C31"/>
      <c r="D31"/>
      <c r="E31"/>
      <c r="F31"/>
      <c r="G31"/>
      <c r="H31"/>
      <c r="I31" s="4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3"/>
      <c r="J33"/>
    </row>
    <row r="34" spans="3:10" ht="30" x14ac:dyDescent="0.4">
      <c r="C34" s="27"/>
      <c r="D34" s="27"/>
      <c r="J34"/>
    </row>
  </sheetData>
  <mergeCells count="11"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  <mergeCell ref="I9:K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44</vt:i4>
      </vt:variant>
      <vt:variant>
        <vt:lpstr>Named Ranges</vt:lpstr>
      </vt:variant>
      <vt:variant>
        <vt:i4>44</vt:i4>
      </vt:variant>
    </vt:vector>
  </HeadingPairs>
  <TitlesOfParts>
    <vt:vector size="88" baseType="lpstr">
      <vt:lpstr>Tower_12THAHU1</vt:lpstr>
      <vt:lpstr>Tower_12THAHU4</vt:lpstr>
      <vt:lpstr>Tower_12THAHU2</vt:lpstr>
      <vt:lpstr>Tower_12THAHU3</vt:lpstr>
      <vt:lpstr>Tower_11THAHU1</vt:lpstr>
      <vt:lpstr>Tower_11THAHU4</vt:lpstr>
      <vt:lpstr>Tower_11THAHU2</vt:lpstr>
      <vt:lpstr>Tower_11THAHU3</vt:lpstr>
      <vt:lpstr>Tower_10THAHU2</vt:lpstr>
      <vt:lpstr>Tower_10THAHU3</vt:lpstr>
      <vt:lpstr>Tower_9THAHU1</vt:lpstr>
      <vt:lpstr>Tower_9THAHU4</vt:lpstr>
      <vt:lpstr>Tower_9THAHU2</vt:lpstr>
      <vt:lpstr>Tower_9THAHU3</vt:lpstr>
      <vt:lpstr>Tower_8THAHU1</vt:lpstr>
      <vt:lpstr>Tower_8THAHU4</vt:lpstr>
      <vt:lpstr>Tower_8THAHU2</vt:lpstr>
      <vt:lpstr>Tower_8THAHU3</vt:lpstr>
      <vt:lpstr>Tower_7THAHU1</vt:lpstr>
      <vt:lpstr>Tower_7THAHU4</vt:lpstr>
      <vt:lpstr>Tower_7THAHU2</vt:lpstr>
      <vt:lpstr>Tower_7THAHU3</vt:lpstr>
      <vt:lpstr>Tower_6THAHU1</vt:lpstr>
      <vt:lpstr>Tower_6THAHU4</vt:lpstr>
      <vt:lpstr>Tower_6THAHU2</vt:lpstr>
      <vt:lpstr>Tower_6THAHU3</vt:lpstr>
      <vt:lpstr>Tower_5THAHU1</vt:lpstr>
      <vt:lpstr>Tower_5THAHU4</vt:lpstr>
      <vt:lpstr>Tower_5THAHU2</vt:lpstr>
      <vt:lpstr>Tower_5THAHU3</vt:lpstr>
      <vt:lpstr>Tower_4THAHU1</vt:lpstr>
      <vt:lpstr>Tower_4THAHU4</vt:lpstr>
      <vt:lpstr>Tower_4THAHU2</vt:lpstr>
      <vt:lpstr>Tower_4THAHU3</vt:lpstr>
      <vt:lpstr>Tower_3RDAHU1</vt:lpstr>
      <vt:lpstr>Tower_3RDAHU4</vt:lpstr>
      <vt:lpstr>Tower_3RDAHU2</vt:lpstr>
      <vt:lpstr>Tower_3RDAHU3</vt:lpstr>
      <vt:lpstr>Tower_2NDAHU1</vt:lpstr>
      <vt:lpstr>Tower_2NDAHU4</vt:lpstr>
      <vt:lpstr>Tower_2NDAHU2</vt:lpstr>
      <vt:lpstr>Tower_2NDAHU3</vt:lpstr>
      <vt:lpstr>Tower_1STAHU1VOLVO</vt:lpstr>
      <vt:lpstr>Tower_1STAHU2ATRIUM</vt:lpstr>
      <vt:lpstr>Tower_10THAHU2!Print_Area</vt:lpstr>
      <vt:lpstr>Tower_10THAHU3!Print_Area</vt:lpstr>
      <vt:lpstr>Tower_11THAHU1!Print_Area</vt:lpstr>
      <vt:lpstr>Tower_11THAHU2!Print_Area</vt:lpstr>
      <vt:lpstr>Tower_11THAHU3!Print_Area</vt:lpstr>
      <vt:lpstr>Tower_11THAHU4!Print_Area</vt:lpstr>
      <vt:lpstr>Tower_12THAHU1!Print_Area</vt:lpstr>
      <vt:lpstr>Tower_12THAHU2!Print_Area</vt:lpstr>
      <vt:lpstr>Tower_12THAHU3!Print_Area</vt:lpstr>
      <vt:lpstr>Tower_12THAHU4!Print_Area</vt:lpstr>
      <vt:lpstr>Tower_1STAHU1VOLVO!Print_Area</vt:lpstr>
      <vt:lpstr>Tower_1STAHU2ATRIUM!Print_Area</vt:lpstr>
      <vt:lpstr>Tower_2NDAHU1!Print_Area</vt:lpstr>
      <vt:lpstr>Tower_2NDAHU2!Print_Area</vt:lpstr>
      <vt:lpstr>Tower_2NDAHU3!Print_Area</vt:lpstr>
      <vt:lpstr>Tower_2NDAHU4!Print_Area</vt:lpstr>
      <vt:lpstr>Tower_3RDAHU1!Print_Area</vt:lpstr>
      <vt:lpstr>Tower_3RDAHU2!Print_Area</vt:lpstr>
      <vt:lpstr>Tower_3RDAHU3!Print_Area</vt:lpstr>
      <vt:lpstr>Tower_3RDAHU4!Print_Area</vt:lpstr>
      <vt:lpstr>Tower_4THAHU1!Print_Area</vt:lpstr>
      <vt:lpstr>Tower_4THAHU2!Print_Area</vt:lpstr>
      <vt:lpstr>Tower_4THAHU3!Print_Area</vt:lpstr>
      <vt:lpstr>Tower_4THAHU4!Print_Area</vt:lpstr>
      <vt:lpstr>Tower_5THAHU1!Print_Area</vt:lpstr>
      <vt:lpstr>Tower_5THAHU2!Print_Area</vt:lpstr>
      <vt:lpstr>Tower_5THAHU3!Print_Area</vt:lpstr>
      <vt:lpstr>Tower_5THAHU4!Print_Area</vt:lpstr>
      <vt:lpstr>Tower_6THAHU1!Print_Area</vt:lpstr>
      <vt:lpstr>Tower_6THAHU2!Print_Area</vt:lpstr>
      <vt:lpstr>Tower_6THAHU3!Print_Area</vt:lpstr>
      <vt:lpstr>Tower_6THAHU4!Print_Area</vt:lpstr>
      <vt:lpstr>Tower_7THAHU1!Print_Area</vt:lpstr>
      <vt:lpstr>Tower_7THAHU2!Print_Area</vt:lpstr>
      <vt:lpstr>Tower_7THAHU3!Print_Area</vt:lpstr>
      <vt:lpstr>Tower_7THAHU4!Print_Area</vt:lpstr>
      <vt:lpstr>Tower_8THAHU1!Print_Area</vt:lpstr>
      <vt:lpstr>Tower_8THAHU2!Print_Area</vt:lpstr>
      <vt:lpstr>Tower_8THAHU3!Print_Area</vt:lpstr>
      <vt:lpstr>Tower_8THAHU4!Print_Area</vt:lpstr>
      <vt:lpstr>Tower_9THAHU1!Print_Area</vt:lpstr>
      <vt:lpstr>Tower_9THAHU2!Print_Area</vt:lpstr>
      <vt:lpstr>Tower_9THAHU3!Print_Area</vt:lpstr>
      <vt:lpstr>Tower_9THAHU4!Print_Area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kushwah</dc:creator>
  <cp:lastModifiedBy>sumit kushwah</cp:lastModifiedBy>
  <dcterms:created xsi:type="dcterms:W3CDTF">2026-02-23T18:40:25Z</dcterms:created>
  <dcterms:modified xsi:type="dcterms:W3CDTF">2026-02-24T09:43:14Z</dcterms:modified>
</cp:coreProperties>
</file>